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47efdf7acb267deb/Documents/Desktop/Crypo Analysis Project/TASKS/"/>
    </mc:Choice>
  </mc:AlternateContent>
  <xr:revisionPtr revIDLastSave="4" documentId="8_{16D6129B-CE0D-43F3-821E-16702A224C5D}" xr6:coauthVersionLast="47" xr6:coauthVersionMax="47" xr10:uidLastSave="{234D2760-27C5-464C-A70E-D5DB74E6C541}"/>
  <bookViews>
    <workbookView xWindow="-110" yWindow="-110" windowWidth="19420" windowHeight="10300" activeTab="1" xr2:uid="{00000000-000D-0000-FFFF-FFFF00000000}"/>
  </bookViews>
  <sheets>
    <sheet name="Raw_Data" sheetId="1" r:id="rId1"/>
    <sheet name="charted" sheetId="3" r:id="rId2"/>
    <sheet name="Added_data" sheetId="2" r:id="rId3"/>
  </sheets>
  <definedNames>
    <definedName name="Slicer_price_rang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2" l="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I82" i="2"/>
  <c r="I83" i="2"/>
  <c r="I154" i="2"/>
  <c r="I155" i="2"/>
  <c r="I226" i="2"/>
  <c r="I227" i="2"/>
  <c r="I298" i="2"/>
  <c r="H2" i="2"/>
  <c r="I2" i="2" s="1"/>
  <c r="H3" i="2"/>
  <c r="I3" i="2" s="1"/>
  <c r="H4" i="2"/>
  <c r="I4" i="2" s="1"/>
  <c r="H5" i="2"/>
  <c r="I5" i="2" s="1"/>
  <c r="H6" i="2"/>
  <c r="I6" i="2" s="1"/>
  <c r="H7" i="2"/>
  <c r="I7" i="2" s="1"/>
  <c r="H8" i="2"/>
  <c r="I8" i="2" s="1"/>
  <c r="H9" i="2"/>
  <c r="I9" i="2" s="1"/>
  <c r="H10" i="2"/>
  <c r="I10" i="2" s="1"/>
  <c r="H11" i="2"/>
  <c r="I11" i="2" s="1"/>
  <c r="H12" i="2"/>
  <c r="I12" i="2" s="1"/>
  <c r="H13" i="2"/>
  <c r="I13" i="2" s="1"/>
  <c r="H14" i="2"/>
  <c r="I14" i="2" s="1"/>
  <c r="H15" i="2"/>
  <c r="I15" i="2" s="1"/>
  <c r="H16" i="2"/>
  <c r="I16" i="2" s="1"/>
  <c r="H17" i="2"/>
  <c r="I17" i="2" s="1"/>
  <c r="H18" i="2"/>
  <c r="I18" i="2" s="1"/>
  <c r="H19" i="2"/>
  <c r="I19" i="2" s="1"/>
  <c r="H20" i="2"/>
  <c r="I20" i="2" s="1"/>
  <c r="H21" i="2"/>
  <c r="I21" i="2" s="1"/>
  <c r="H22" i="2"/>
  <c r="I22" i="2" s="1"/>
  <c r="H23" i="2"/>
  <c r="I23" i="2" s="1"/>
  <c r="H24" i="2"/>
  <c r="I24" i="2" s="1"/>
  <c r="H25" i="2"/>
  <c r="I25" i="2" s="1"/>
  <c r="H26" i="2"/>
  <c r="I26" i="2" s="1"/>
  <c r="H27" i="2"/>
  <c r="I27" i="2" s="1"/>
  <c r="H28" i="2"/>
  <c r="I28" i="2" s="1"/>
  <c r="H29" i="2"/>
  <c r="I29" i="2" s="1"/>
  <c r="H30" i="2"/>
  <c r="I30" i="2" s="1"/>
  <c r="H31" i="2"/>
  <c r="I31" i="2" s="1"/>
  <c r="H32" i="2"/>
  <c r="I32" i="2" s="1"/>
  <c r="H33" i="2"/>
  <c r="I33" i="2" s="1"/>
  <c r="H34" i="2"/>
  <c r="I34" i="2" s="1"/>
  <c r="H35" i="2"/>
  <c r="I35" i="2" s="1"/>
  <c r="H36" i="2"/>
  <c r="I36" i="2" s="1"/>
  <c r="H37" i="2"/>
  <c r="I37" i="2" s="1"/>
  <c r="H38" i="2"/>
  <c r="I38" i="2" s="1"/>
  <c r="H39" i="2"/>
  <c r="I39" i="2" s="1"/>
  <c r="H40" i="2"/>
  <c r="I40" i="2" s="1"/>
  <c r="H41" i="2"/>
  <c r="I41" i="2" s="1"/>
  <c r="H42" i="2"/>
  <c r="I42" i="2" s="1"/>
  <c r="H43" i="2"/>
  <c r="I43" i="2" s="1"/>
  <c r="H44" i="2"/>
  <c r="I44" i="2" s="1"/>
  <c r="H45" i="2"/>
  <c r="I45" i="2" s="1"/>
  <c r="H46" i="2"/>
  <c r="I46" i="2" s="1"/>
  <c r="H47" i="2"/>
  <c r="I47" i="2" s="1"/>
  <c r="H48" i="2"/>
  <c r="I48" i="2" s="1"/>
  <c r="H49" i="2"/>
  <c r="I49" i="2" s="1"/>
  <c r="H50" i="2"/>
  <c r="I50" i="2" s="1"/>
  <c r="H51" i="2"/>
  <c r="I51" i="2" s="1"/>
  <c r="H52" i="2"/>
  <c r="I52" i="2" s="1"/>
  <c r="H53" i="2"/>
  <c r="I53" i="2" s="1"/>
  <c r="H54" i="2"/>
  <c r="I54" i="2" s="1"/>
  <c r="H55" i="2"/>
  <c r="I55" i="2" s="1"/>
  <c r="H56" i="2"/>
  <c r="I56" i="2" s="1"/>
  <c r="H57" i="2"/>
  <c r="I57" i="2" s="1"/>
  <c r="H58" i="2"/>
  <c r="I58" i="2" s="1"/>
  <c r="H59" i="2"/>
  <c r="I59" i="2" s="1"/>
  <c r="H60" i="2"/>
  <c r="I60" i="2" s="1"/>
  <c r="H61" i="2"/>
  <c r="I61" i="2" s="1"/>
  <c r="H62" i="2"/>
  <c r="I62" i="2" s="1"/>
  <c r="H63" i="2"/>
  <c r="I63" i="2" s="1"/>
  <c r="H64" i="2"/>
  <c r="I64" i="2" s="1"/>
  <c r="H65" i="2"/>
  <c r="I65" i="2" s="1"/>
  <c r="H66" i="2"/>
  <c r="I66" i="2" s="1"/>
  <c r="H67" i="2"/>
  <c r="I67" i="2" s="1"/>
  <c r="H68" i="2"/>
  <c r="I68" i="2" s="1"/>
  <c r="H69" i="2"/>
  <c r="I69" i="2" s="1"/>
  <c r="H70" i="2"/>
  <c r="I70" i="2" s="1"/>
  <c r="H71" i="2"/>
  <c r="I71" i="2" s="1"/>
  <c r="H72" i="2"/>
  <c r="I72" i="2" s="1"/>
  <c r="H73" i="2"/>
  <c r="I73" i="2" s="1"/>
  <c r="H74" i="2"/>
  <c r="I74" i="2" s="1"/>
  <c r="H75" i="2"/>
  <c r="I75" i="2" s="1"/>
  <c r="H76" i="2"/>
  <c r="I76" i="2" s="1"/>
  <c r="H77" i="2"/>
  <c r="I77" i="2" s="1"/>
  <c r="H78" i="2"/>
  <c r="I78" i="2" s="1"/>
  <c r="H79" i="2"/>
  <c r="I79" i="2" s="1"/>
  <c r="H80" i="2"/>
  <c r="I80" i="2" s="1"/>
  <c r="H81" i="2"/>
  <c r="I81" i="2" s="1"/>
  <c r="H82" i="2"/>
  <c r="H83" i="2"/>
  <c r="H84" i="2"/>
  <c r="I84" i="2" s="1"/>
  <c r="H85" i="2"/>
  <c r="I85" i="2" s="1"/>
  <c r="H86" i="2"/>
  <c r="I86" i="2" s="1"/>
  <c r="H87" i="2"/>
  <c r="I87" i="2" s="1"/>
  <c r="H88" i="2"/>
  <c r="I88" i="2" s="1"/>
  <c r="H89" i="2"/>
  <c r="I89" i="2" s="1"/>
  <c r="H90" i="2"/>
  <c r="I90" i="2" s="1"/>
  <c r="H91" i="2"/>
  <c r="I91" i="2" s="1"/>
  <c r="H92" i="2"/>
  <c r="I92" i="2" s="1"/>
  <c r="H93" i="2"/>
  <c r="I93" i="2" s="1"/>
  <c r="H94" i="2"/>
  <c r="I94" i="2" s="1"/>
  <c r="H95" i="2"/>
  <c r="I95" i="2" s="1"/>
  <c r="H96" i="2"/>
  <c r="I96" i="2" s="1"/>
  <c r="H97" i="2"/>
  <c r="I97" i="2" s="1"/>
  <c r="H98" i="2"/>
  <c r="I98" i="2" s="1"/>
  <c r="H99" i="2"/>
  <c r="I99" i="2" s="1"/>
  <c r="H100" i="2"/>
  <c r="I100" i="2" s="1"/>
  <c r="H101" i="2"/>
  <c r="I101" i="2" s="1"/>
  <c r="H102" i="2"/>
  <c r="I102" i="2" s="1"/>
  <c r="H103" i="2"/>
  <c r="I103" i="2" s="1"/>
  <c r="H104" i="2"/>
  <c r="I104" i="2" s="1"/>
  <c r="H105" i="2"/>
  <c r="I105" i="2" s="1"/>
  <c r="H106" i="2"/>
  <c r="I106" i="2" s="1"/>
  <c r="H107" i="2"/>
  <c r="I107" i="2" s="1"/>
  <c r="H108" i="2"/>
  <c r="I108" i="2" s="1"/>
  <c r="H109" i="2"/>
  <c r="I109" i="2" s="1"/>
  <c r="H110" i="2"/>
  <c r="I110" i="2" s="1"/>
  <c r="H111" i="2"/>
  <c r="I111" i="2" s="1"/>
  <c r="H112" i="2"/>
  <c r="I112" i="2" s="1"/>
  <c r="H113" i="2"/>
  <c r="I113" i="2" s="1"/>
  <c r="H114" i="2"/>
  <c r="I114" i="2" s="1"/>
  <c r="H115" i="2"/>
  <c r="I115" i="2" s="1"/>
  <c r="H116" i="2"/>
  <c r="I116" i="2" s="1"/>
  <c r="H117" i="2"/>
  <c r="I117" i="2" s="1"/>
  <c r="H118" i="2"/>
  <c r="I118" i="2" s="1"/>
  <c r="H119" i="2"/>
  <c r="I119" i="2" s="1"/>
  <c r="H120" i="2"/>
  <c r="I120" i="2" s="1"/>
  <c r="H121" i="2"/>
  <c r="I121" i="2" s="1"/>
  <c r="H122" i="2"/>
  <c r="I122" i="2" s="1"/>
  <c r="H123" i="2"/>
  <c r="I123" i="2" s="1"/>
  <c r="H124" i="2"/>
  <c r="I124" i="2" s="1"/>
  <c r="H125" i="2"/>
  <c r="I125" i="2" s="1"/>
  <c r="H126" i="2"/>
  <c r="I126" i="2" s="1"/>
  <c r="H127" i="2"/>
  <c r="I127" i="2" s="1"/>
  <c r="H128" i="2"/>
  <c r="I128" i="2" s="1"/>
  <c r="H129" i="2"/>
  <c r="I129" i="2" s="1"/>
  <c r="H130" i="2"/>
  <c r="I130" i="2" s="1"/>
  <c r="H131" i="2"/>
  <c r="I131" i="2" s="1"/>
  <c r="H132" i="2"/>
  <c r="I132" i="2" s="1"/>
  <c r="H133" i="2"/>
  <c r="I133" i="2" s="1"/>
  <c r="H134" i="2"/>
  <c r="I134" i="2" s="1"/>
  <c r="H135" i="2"/>
  <c r="I135" i="2" s="1"/>
  <c r="H136" i="2"/>
  <c r="I136" i="2" s="1"/>
  <c r="H137" i="2"/>
  <c r="I137" i="2" s="1"/>
  <c r="H138" i="2"/>
  <c r="I138" i="2" s="1"/>
  <c r="H139" i="2"/>
  <c r="I139" i="2" s="1"/>
  <c r="H140" i="2"/>
  <c r="I140" i="2" s="1"/>
  <c r="H141" i="2"/>
  <c r="I141" i="2" s="1"/>
  <c r="H142" i="2"/>
  <c r="I142" i="2" s="1"/>
  <c r="H143" i="2"/>
  <c r="I143" i="2" s="1"/>
  <c r="H144" i="2"/>
  <c r="I144" i="2" s="1"/>
  <c r="H145" i="2"/>
  <c r="I145" i="2" s="1"/>
  <c r="H146" i="2"/>
  <c r="I146" i="2" s="1"/>
  <c r="H147" i="2"/>
  <c r="I147" i="2" s="1"/>
  <c r="H148" i="2"/>
  <c r="I148" i="2" s="1"/>
  <c r="H149" i="2"/>
  <c r="I149" i="2" s="1"/>
  <c r="H150" i="2"/>
  <c r="I150" i="2" s="1"/>
  <c r="H151" i="2"/>
  <c r="I151" i="2" s="1"/>
  <c r="H152" i="2"/>
  <c r="I152" i="2" s="1"/>
  <c r="H153" i="2"/>
  <c r="I153" i="2" s="1"/>
  <c r="H154" i="2"/>
  <c r="H155" i="2"/>
  <c r="H156" i="2"/>
  <c r="I156" i="2" s="1"/>
  <c r="H157" i="2"/>
  <c r="I157" i="2" s="1"/>
  <c r="H158" i="2"/>
  <c r="I158" i="2" s="1"/>
  <c r="H159" i="2"/>
  <c r="I159" i="2" s="1"/>
  <c r="H160" i="2"/>
  <c r="I160" i="2" s="1"/>
  <c r="H161" i="2"/>
  <c r="I161" i="2" s="1"/>
  <c r="H162" i="2"/>
  <c r="I162" i="2" s="1"/>
  <c r="H163" i="2"/>
  <c r="I163" i="2" s="1"/>
  <c r="H164" i="2"/>
  <c r="I164" i="2" s="1"/>
  <c r="H165" i="2"/>
  <c r="I165" i="2" s="1"/>
  <c r="H166" i="2"/>
  <c r="I166" i="2" s="1"/>
  <c r="H167" i="2"/>
  <c r="I167" i="2" s="1"/>
  <c r="H168" i="2"/>
  <c r="I168" i="2" s="1"/>
  <c r="H169" i="2"/>
  <c r="I169" i="2" s="1"/>
  <c r="H170" i="2"/>
  <c r="I170" i="2" s="1"/>
  <c r="H171" i="2"/>
  <c r="I171" i="2" s="1"/>
  <c r="H172" i="2"/>
  <c r="I172" i="2" s="1"/>
  <c r="H173" i="2"/>
  <c r="I173" i="2" s="1"/>
  <c r="H174" i="2"/>
  <c r="I174" i="2" s="1"/>
  <c r="H175" i="2"/>
  <c r="I175" i="2" s="1"/>
  <c r="H176" i="2"/>
  <c r="I176" i="2" s="1"/>
  <c r="H177" i="2"/>
  <c r="I177" i="2" s="1"/>
  <c r="H178" i="2"/>
  <c r="I178" i="2" s="1"/>
  <c r="H179" i="2"/>
  <c r="I179" i="2" s="1"/>
  <c r="H180" i="2"/>
  <c r="I180" i="2" s="1"/>
  <c r="H181" i="2"/>
  <c r="I181" i="2" s="1"/>
  <c r="H182" i="2"/>
  <c r="I182" i="2" s="1"/>
  <c r="H183" i="2"/>
  <c r="I183" i="2" s="1"/>
  <c r="H184" i="2"/>
  <c r="I184" i="2" s="1"/>
  <c r="H185" i="2"/>
  <c r="I185" i="2" s="1"/>
  <c r="H186" i="2"/>
  <c r="I186" i="2" s="1"/>
  <c r="H187" i="2"/>
  <c r="I187" i="2" s="1"/>
  <c r="H188" i="2"/>
  <c r="I188" i="2" s="1"/>
  <c r="H189" i="2"/>
  <c r="I189" i="2" s="1"/>
  <c r="H190" i="2"/>
  <c r="I190" i="2" s="1"/>
  <c r="H191" i="2"/>
  <c r="I191" i="2" s="1"/>
  <c r="H192" i="2"/>
  <c r="I192" i="2" s="1"/>
  <c r="H193" i="2"/>
  <c r="I193" i="2" s="1"/>
  <c r="H194" i="2"/>
  <c r="I194" i="2" s="1"/>
  <c r="H195" i="2"/>
  <c r="I195" i="2" s="1"/>
  <c r="H196" i="2"/>
  <c r="I196" i="2" s="1"/>
  <c r="H197" i="2"/>
  <c r="I197" i="2" s="1"/>
  <c r="H198" i="2"/>
  <c r="I198" i="2" s="1"/>
  <c r="H199" i="2"/>
  <c r="I199" i="2" s="1"/>
  <c r="H200" i="2"/>
  <c r="I200" i="2" s="1"/>
  <c r="H201" i="2"/>
  <c r="I201" i="2" s="1"/>
  <c r="H202" i="2"/>
  <c r="I202" i="2" s="1"/>
  <c r="H203" i="2"/>
  <c r="I203" i="2" s="1"/>
  <c r="H204" i="2"/>
  <c r="I204" i="2" s="1"/>
  <c r="H205" i="2"/>
  <c r="I205" i="2" s="1"/>
  <c r="H206" i="2"/>
  <c r="I206" i="2" s="1"/>
  <c r="H207" i="2"/>
  <c r="I207" i="2" s="1"/>
  <c r="H208" i="2"/>
  <c r="I208" i="2" s="1"/>
  <c r="H209" i="2"/>
  <c r="I209" i="2" s="1"/>
  <c r="H210" i="2"/>
  <c r="I210" i="2" s="1"/>
  <c r="H211" i="2"/>
  <c r="I211" i="2" s="1"/>
  <c r="H212" i="2"/>
  <c r="I212" i="2" s="1"/>
  <c r="H213" i="2"/>
  <c r="I213" i="2" s="1"/>
  <c r="H214" i="2"/>
  <c r="I214" i="2" s="1"/>
  <c r="H215" i="2"/>
  <c r="I215" i="2" s="1"/>
  <c r="H216" i="2"/>
  <c r="I216" i="2" s="1"/>
  <c r="H217" i="2"/>
  <c r="I217" i="2" s="1"/>
  <c r="H218" i="2"/>
  <c r="I218" i="2" s="1"/>
  <c r="H219" i="2"/>
  <c r="I219" i="2" s="1"/>
  <c r="H220" i="2"/>
  <c r="I220" i="2" s="1"/>
  <c r="H221" i="2"/>
  <c r="I221" i="2" s="1"/>
  <c r="H222" i="2"/>
  <c r="I222" i="2" s="1"/>
  <c r="H223" i="2"/>
  <c r="I223" i="2" s="1"/>
  <c r="H224" i="2"/>
  <c r="I224" i="2" s="1"/>
  <c r="H225" i="2"/>
  <c r="I225" i="2" s="1"/>
  <c r="H226" i="2"/>
  <c r="H227" i="2"/>
  <c r="H228" i="2"/>
  <c r="I228" i="2" s="1"/>
  <c r="H229" i="2"/>
  <c r="I229" i="2" s="1"/>
  <c r="H230" i="2"/>
  <c r="I230" i="2" s="1"/>
  <c r="H231" i="2"/>
  <c r="I231" i="2" s="1"/>
  <c r="H232" i="2"/>
  <c r="I232" i="2" s="1"/>
  <c r="H233" i="2"/>
  <c r="I233" i="2" s="1"/>
  <c r="H234" i="2"/>
  <c r="I234" i="2" s="1"/>
  <c r="H235" i="2"/>
  <c r="I235" i="2" s="1"/>
  <c r="H236" i="2"/>
  <c r="I236" i="2" s="1"/>
  <c r="H237" i="2"/>
  <c r="I237" i="2" s="1"/>
  <c r="H238" i="2"/>
  <c r="I238" i="2" s="1"/>
  <c r="H239" i="2"/>
  <c r="I239" i="2" s="1"/>
  <c r="H240" i="2"/>
  <c r="I240" i="2" s="1"/>
  <c r="H241" i="2"/>
  <c r="I241" i="2" s="1"/>
  <c r="H242" i="2"/>
  <c r="I242" i="2" s="1"/>
  <c r="H243" i="2"/>
  <c r="I243" i="2" s="1"/>
  <c r="H244" i="2"/>
  <c r="I244" i="2" s="1"/>
  <c r="H245" i="2"/>
  <c r="I245" i="2" s="1"/>
  <c r="H246" i="2"/>
  <c r="I246" i="2" s="1"/>
  <c r="H247" i="2"/>
  <c r="I247" i="2" s="1"/>
  <c r="H248" i="2"/>
  <c r="I248" i="2" s="1"/>
  <c r="H249" i="2"/>
  <c r="I249" i="2" s="1"/>
  <c r="H250" i="2"/>
  <c r="I250" i="2" s="1"/>
  <c r="H251" i="2"/>
  <c r="I251" i="2" s="1"/>
  <c r="H252" i="2"/>
  <c r="I252" i="2" s="1"/>
  <c r="H253" i="2"/>
  <c r="I253" i="2" s="1"/>
  <c r="H254" i="2"/>
  <c r="I254" i="2" s="1"/>
  <c r="H255" i="2"/>
  <c r="I255" i="2" s="1"/>
  <c r="H256" i="2"/>
  <c r="I256" i="2" s="1"/>
  <c r="H257" i="2"/>
  <c r="I257" i="2" s="1"/>
  <c r="H258" i="2"/>
  <c r="I258" i="2" s="1"/>
  <c r="H259" i="2"/>
  <c r="I259" i="2" s="1"/>
  <c r="H260" i="2"/>
  <c r="I260" i="2" s="1"/>
  <c r="H261" i="2"/>
  <c r="I261" i="2" s="1"/>
  <c r="H262" i="2"/>
  <c r="I262" i="2" s="1"/>
  <c r="H263" i="2"/>
  <c r="I263" i="2" s="1"/>
  <c r="H264" i="2"/>
  <c r="I264" i="2" s="1"/>
  <c r="H265" i="2"/>
  <c r="I265" i="2" s="1"/>
  <c r="H266" i="2"/>
  <c r="I266" i="2" s="1"/>
  <c r="H267" i="2"/>
  <c r="I267" i="2" s="1"/>
  <c r="H268" i="2"/>
  <c r="I268" i="2" s="1"/>
  <c r="H269" i="2"/>
  <c r="I269" i="2" s="1"/>
  <c r="H270" i="2"/>
  <c r="I270" i="2" s="1"/>
  <c r="H271" i="2"/>
  <c r="I271" i="2" s="1"/>
  <c r="H272" i="2"/>
  <c r="I272" i="2" s="1"/>
  <c r="H273" i="2"/>
  <c r="I273" i="2" s="1"/>
  <c r="H274" i="2"/>
  <c r="I274" i="2" s="1"/>
  <c r="H275" i="2"/>
  <c r="I275" i="2" s="1"/>
  <c r="H276" i="2"/>
  <c r="I276" i="2" s="1"/>
  <c r="H277" i="2"/>
  <c r="I277" i="2" s="1"/>
  <c r="H278" i="2"/>
  <c r="I278" i="2" s="1"/>
  <c r="H279" i="2"/>
  <c r="I279" i="2" s="1"/>
  <c r="H280" i="2"/>
  <c r="I280" i="2" s="1"/>
  <c r="H281" i="2"/>
  <c r="I281" i="2" s="1"/>
  <c r="H282" i="2"/>
  <c r="I282" i="2" s="1"/>
  <c r="H283" i="2"/>
  <c r="I283" i="2" s="1"/>
  <c r="H284" i="2"/>
  <c r="I284" i="2" s="1"/>
  <c r="H285" i="2"/>
  <c r="I285" i="2" s="1"/>
  <c r="H286" i="2"/>
  <c r="I286" i="2" s="1"/>
  <c r="H287" i="2"/>
  <c r="I287" i="2" s="1"/>
  <c r="H288" i="2"/>
  <c r="I288" i="2" s="1"/>
  <c r="H289" i="2"/>
  <c r="I289" i="2" s="1"/>
  <c r="H290" i="2"/>
  <c r="I290" i="2" s="1"/>
  <c r="H291" i="2"/>
  <c r="I291" i="2" s="1"/>
  <c r="H292" i="2"/>
  <c r="I292" i="2" s="1"/>
  <c r="H293" i="2"/>
  <c r="I293" i="2" s="1"/>
  <c r="H294" i="2"/>
  <c r="I294" i="2" s="1"/>
  <c r="H295" i="2"/>
  <c r="I295" i="2" s="1"/>
  <c r="H296" i="2"/>
  <c r="I296" i="2" s="1"/>
  <c r="H297" i="2"/>
  <c r="I297" i="2" s="1"/>
  <c r="H298" i="2"/>
  <c r="H299" i="2"/>
  <c r="I299" i="2" s="1"/>
  <c r="H300" i="2"/>
  <c r="I300" i="2" s="1"/>
  <c r="H301" i="2"/>
  <c r="I301" i="2" s="1"/>
</calcChain>
</file>

<file path=xl/sharedStrings.xml><?xml version="1.0" encoding="utf-8"?>
<sst xmlns="http://schemas.openxmlformats.org/spreadsheetml/2006/main" count="3945" uniqueCount="1881">
  <si>
    <t>Coin Name</t>
  </si>
  <si>
    <t>Symbol</t>
  </si>
  <si>
    <t>Price (USD)</t>
  </si>
  <si>
    <t>1h Change (%)</t>
  </si>
  <si>
    <t>Market Cap</t>
  </si>
  <si>
    <t>Volume (24h) USD</t>
  </si>
  <si>
    <t>Circulating Supply</t>
  </si>
  <si>
    <t>CoinMarketCap 20 Index DTF</t>
  </si>
  <si>
    <t>CMC20</t>
  </si>
  <si>
    <t>$186.71</t>
  </si>
  <si>
    <t>0.06%</t>
  </si>
  <si>
    <t>$6,385,658</t>
  </si>
  <si>
    <t>$1,095,928</t>
  </si>
  <si>
    <t>34.19K</t>
  </si>
  <si>
    <t>Bitcoin</t>
  </si>
  <si>
    <t>BTC</t>
  </si>
  <si>
    <t>$88,617.76</t>
  </si>
  <si>
    <t>0.25%</t>
  </si>
  <si>
    <t>$1,769,018,049,912</t>
  </si>
  <si>
    <t>$15,900,106,528</t>
  </si>
  <si>
    <t>19.96M</t>
  </si>
  <si>
    <t>Ethereum</t>
  </si>
  <si>
    <t>ETH</t>
  </si>
  <si>
    <t>$2,995.26</t>
  </si>
  <si>
    <t>0.21%</t>
  </si>
  <si>
    <t>$361,423,587,738</t>
  </si>
  <si>
    <t>$8,206,517,127</t>
  </si>
  <si>
    <t>120.69M</t>
  </si>
  <si>
    <t>Tether</t>
  </si>
  <si>
    <t>USDT</t>
  </si>
  <si>
    <t>$0.9996</t>
  </si>
  <si>
    <t>0.00%</t>
  </si>
  <si>
    <t>$186,753,660,259</t>
  </si>
  <si>
    <t>$49,537,630,315</t>
  </si>
  <si>
    <t>186.82B</t>
  </si>
  <si>
    <t>BNB</t>
  </si>
  <si>
    <t>$855.25</t>
  </si>
  <si>
    <t>0.17%</t>
  </si>
  <si>
    <t>$117,794,143,481</t>
  </si>
  <si>
    <t>$1,382,355,356</t>
  </si>
  <si>
    <t>137.73M</t>
  </si>
  <si>
    <t>XRP</t>
  </si>
  <si>
    <t>$1.93</t>
  </si>
  <si>
    <t>0.69%</t>
  </si>
  <si>
    <t>$117,071,294,680</t>
  </si>
  <si>
    <t>$2,414,665,365</t>
  </si>
  <si>
    <t>60.57B</t>
  </si>
  <si>
    <t>USDC</t>
  </si>
  <si>
    <t>$0.9997</t>
  </si>
  <si>
    <t>0.01%</t>
  </si>
  <si>
    <t>$77,041,970,766</t>
  </si>
  <si>
    <t>$4,090,327,607</t>
  </si>
  <si>
    <t>77.06B</t>
  </si>
  <si>
    <t>Solana</t>
  </si>
  <si>
    <t>SOL</t>
  </si>
  <si>
    <t>$125.68</t>
  </si>
  <si>
    <t>0.56%</t>
  </si>
  <si>
    <t>$70,670,265,414</t>
  </si>
  <si>
    <t>$1,789,456,574</t>
  </si>
  <si>
    <t>562.29M</t>
  </si>
  <si>
    <t>TRON</t>
  </si>
  <si>
    <t>TRX</t>
  </si>
  <si>
    <t>$0.2851</t>
  </si>
  <si>
    <t>$27,003,517,160</t>
  </si>
  <si>
    <t>$446,524,909</t>
  </si>
  <si>
    <t>94.68B</t>
  </si>
  <si>
    <t>Dogecoin</t>
  </si>
  <si>
    <t>DOGE</t>
  </si>
  <si>
    <t>$0.1318</t>
  </si>
  <si>
    <t>0.80%</t>
  </si>
  <si>
    <t>$22,142,131,632</t>
  </si>
  <si>
    <t>$518,471,540</t>
  </si>
  <si>
    <t>167.98B</t>
  </si>
  <si>
    <t>Cardano</t>
  </si>
  <si>
    <t>ADA</t>
  </si>
  <si>
    <t>$0.3703</t>
  </si>
  <si>
    <t>0.86%</t>
  </si>
  <si>
    <t>$13,306,597,136</t>
  </si>
  <si>
    <t>$333,761,113</t>
  </si>
  <si>
    <t>35.92B</t>
  </si>
  <si>
    <t>Bitcoin Cash</t>
  </si>
  <si>
    <t>BCH</t>
  </si>
  <si>
    <t>$586.88</t>
  </si>
  <si>
    <t>0.31%</t>
  </si>
  <si>
    <t>$11,719,903,275</t>
  </si>
  <si>
    <t>$294,129,073</t>
  </si>
  <si>
    <t>Chainlink</t>
  </si>
  <si>
    <t>LINK</t>
  </si>
  <si>
    <t>$12.58</t>
  </si>
  <si>
    <t>0.72%</t>
  </si>
  <si>
    <t>$8,911,264,583</t>
  </si>
  <si>
    <t>$264,909,841</t>
  </si>
  <si>
    <t>708.09M</t>
  </si>
  <si>
    <t>Monero</t>
  </si>
  <si>
    <t>XMR</t>
  </si>
  <si>
    <t>$469.29</t>
  </si>
  <si>
    <t>0.94%</t>
  </si>
  <si>
    <t>$8,657,043,978</t>
  </si>
  <si>
    <t>$213,444,264</t>
  </si>
  <si>
    <t>18.44M</t>
  </si>
  <si>
    <t>Hyperliquid</t>
  </si>
  <si>
    <t>HYPE</t>
  </si>
  <si>
    <t>$24.21</t>
  </si>
  <si>
    <t>0.55%</t>
  </si>
  <si>
    <t>$8,152,825,164</t>
  </si>
  <si>
    <t>$151,858,829</t>
  </si>
  <si>
    <t>336.68M</t>
  </si>
  <si>
    <t>The Graph</t>
  </si>
  <si>
    <t>GRT</t>
  </si>
  <si>
    <t>$0.03718</t>
  </si>
  <si>
    <t>$396,283,095</t>
  </si>
  <si>
    <t>$12,502,267</t>
  </si>
  <si>
    <t>10.65B</t>
  </si>
  <si>
    <t>JUST</t>
  </si>
  <si>
    <t>JST</t>
  </si>
  <si>
    <t>$0.03990</t>
  </si>
  <si>
    <t>0.14%</t>
  </si>
  <si>
    <t>$395,100,959</t>
  </si>
  <si>
    <t>$27,177,132</t>
  </si>
  <si>
    <t>9.9B</t>
  </si>
  <si>
    <t>BitTorrent [New]</t>
  </si>
  <si>
    <t>BTT</t>
  </si>
  <si>
    <t>$0.063966</t>
  </si>
  <si>
    <t>0.18%</t>
  </si>
  <si>
    <t>$391,089,084</t>
  </si>
  <si>
    <t>$10,638,334</t>
  </si>
  <si>
    <t>986.06T</t>
  </si>
  <si>
    <t>FLOKI</t>
  </si>
  <si>
    <t>$0.00004097</t>
  </si>
  <si>
    <t>0.65%</t>
  </si>
  <si>
    <t>$390,942,713</t>
  </si>
  <si>
    <t>$20,456,716</t>
  </si>
  <si>
    <t>9.54T</t>
  </si>
  <si>
    <t>Sun [New]</t>
  </si>
  <si>
    <t>SUN</t>
  </si>
  <si>
    <t>$0.02021</t>
  </si>
  <si>
    <t>0.12%</t>
  </si>
  <si>
    <t>$387,986,393</t>
  </si>
  <si>
    <t>$17,850,726</t>
  </si>
  <si>
    <t>19.18B</t>
  </si>
  <si>
    <t>Chiliz</t>
  </si>
  <si>
    <t>CHZ</t>
  </si>
  <si>
    <t>$0.03714</t>
  </si>
  <si>
    <t>2.43%</t>
  </si>
  <si>
    <t>$377,832,305</t>
  </si>
  <si>
    <t>$129,423,812</t>
  </si>
  <si>
    <t>10.17B</t>
  </si>
  <si>
    <t>Maple Finance</t>
  </si>
  <si>
    <t>SYRUP</t>
  </si>
  <si>
    <t>$0.3291</t>
  </si>
  <si>
    <t>0.60%</t>
  </si>
  <si>
    <t>$376,034,713</t>
  </si>
  <si>
    <t>$27,336,461</t>
  </si>
  <si>
    <t>1.14B</t>
  </si>
  <si>
    <t>DoubleZero</t>
  </si>
  <si>
    <t>2Z</t>
  </si>
  <si>
    <t>$0.1080</t>
  </si>
  <si>
    <t>0.91%</t>
  </si>
  <si>
    <t>$375,067,798</t>
  </si>
  <si>
    <t>$9,957,726</t>
  </si>
  <si>
    <t>3.47B</t>
  </si>
  <si>
    <t>IOTA</t>
  </si>
  <si>
    <t>$0.08924</t>
  </si>
  <si>
    <t>$374,367,380</t>
  </si>
  <si>
    <t>$9,083,545</t>
  </si>
  <si>
    <t>4.19B</t>
  </si>
  <si>
    <t>Bitcoin SV</t>
  </si>
  <si>
    <t>BSV</t>
  </si>
  <si>
    <t>$18.70</t>
  </si>
  <si>
    <t>0.27%</t>
  </si>
  <si>
    <t>$373,513,513</t>
  </si>
  <si>
    <t>$10,885,014</t>
  </si>
  <si>
    <t>Kaia</t>
  </si>
  <si>
    <t>KAIA</t>
  </si>
  <si>
    <t>$0.05999</t>
  </si>
  <si>
    <t>$371,881,052</t>
  </si>
  <si>
    <t>$16,546,673</t>
  </si>
  <si>
    <t>6.19B</t>
  </si>
  <si>
    <t>Ethereum Name Service</t>
  </si>
  <si>
    <t>ENS</t>
  </si>
  <si>
    <t>$9.68</t>
  </si>
  <si>
    <t>0.64%</t>
  </si>
  <si>
    <t>$369,793,963</t>
  </si>
  <si>
    <t>$18,934,587</t>
  </si>
  <si>
    <t>38.19M</t>
  </si>
  <si>
    <t>Conflux</t>
  </si>
  <si>
    <t>CFX</t>
  </si>
  <si>
    <t>$0.07133</t>
  </si>
  <si>
    <t>1.02%</t>
  </si>
  <si>
    <t>$368,504,918</t>
  </si>
  <si>
    <t>$11,229,707</t>
  </si>
  <si>
    <t>5.16B</t>
  </si>
  <si>
    <t>Trust Wallet Token</t>
  </si>
  <si>
    <t>TWT</t>
  </si>
  <si>
    <t>$0.8369</t>
  </si>
  <si>
    <t>0.36%</t>
  </si>
  <si>
    <t>$359,773,572</t>
  </si>
  <si>
    <t>$15,589,502</t>
  </si>
  <si>
    <t>429.86M</t>
  </si>
  <si>
    <t>AINFT</t>
  </si>
  <si>
    <t>NFT</t>
  </si>
  <si>
    <t>$0.063516</t>
  </si>
  <si>
    <t>$351,671,089</t>
  </si>
  <si>
    <t>$18,785,205</t>
  </si>
  <si>
    <t>999.99T</t>
  </si>
  <si>
    <t>Rain</t>
  </si>
  <si>
    <t>RAIN</t>
  </si>
  <si>
    <t>$0.007632</t>
  </si>
  <si>
    <t>$2,591,576,160</t>
  </si>
  <si>
    <t>$25,925,939</t>
  </si>
  <si>
    <t>339.53B</t>
  </si>
  <si>
    <t>Falcon USD</t>
  </si>
  <si>
    <t>USDf</t>
  </si>
  <si>
    <t>$0.9977</t>
  </si>
  <si>
    <t>$2,106,884,484</t>
  </si>
  <si>
    <t>$584,085</t>
  </si>
  <si>
    <t>2.11B</t>
  </si>
  <si>
    <t>Jupiter Perps LP</t>
  </si>
  <si>
    <t>JLP</t>
  </si>
  <si>
    <t>$4.53</t>
  </si>
  <si>
    <t>0.24%</t>
  </si>
  <si>
    <t>$1,535,961,932</t>
  </si>
  <si>
    <t>$14,587,641</t>
  </si>
  <si>
    <t>338.43M</t>
  </si>
  <si>
    <t>Beldex</t>
  </si>
  <si>
    <t>BDX</t>
  </si>
  <si>
    <t>$0.09753</t>
  </si>
  <si>
    <t>1.53%</t>
  </si>
  <si>
    <t>$729,098,862</t>
  </si>
  <si>
    <t>$10,825,041</t>
  </si>
  <si>
    <t>7.47B</t>
  </si>
  <si>
    <t>Ondo US Dollar Yield</t>
  </si>
  <si>
    <t>USDY</t>
  </si>
  <si>
    <t>$1.11</t>
  </si>
  <si>
    <t>$695,165,286</t>
  </si>
  <si>
    <t>$1,491,792</t>
  </si>
  <si>
    <t>622.76M</t>
  </si>
  <si>
    <t>Fasttoken</t>
  </si>
  <si>
    <t>FTN</t>
  </si>
  <si>
    <t>$1.39</t>
  </si>
  <si>
    <t>$610,617,101</t>
  </si>
  <si>
    <t>$14,824,547</t>
  </si>
  <si>
    <t>436.26M</t>
  </si>
  <si>
    <t>Usual USD</t>
  </si>
  <si>
    <t>USD0</t>
  </si>
  <si>
    <t>$0.9982</t>
  </si>
  <si>
    <t>$562,841,704</t>
  </si>
  <si>
    <t>$360,034</t>
  </si>
  <si>
    <t>563.83M</t>
  </si>
  <si>
    <t>USDai</t>
  </si>
  <si>
    <t>USDAI</t>
  </si>
  <si>
    <t>$1.00</t>
  </si>
  <si>
    <t>$501,660,920</t>
  </si>
  <si>
    <t>$0</t>
  </si>
  <si>
    <t>501.35M</t>
  </si>
  <si>
    <t>GHO</t>
  </si>
  <si>
    <t>$0.9994</t>
  </si>
  <si>
    <t>0.02%</t>
  </si>
  <si>
    <t>$494,983,038</t>
  </si>
  <si>
    <t>$112,416</t>
  </si>
  <si>
    <t>495.25M</t>
  </si>
  <si>
    <t>Legacy Frax Dollar</t>
  </si>
  <si>
    <t>FRAX</t>
  </si>
  <si>
    <t>$0.9941</t>
  </si>
  <si>
    <t>$278,706,336</t>
  </si>
  <si>
    <t>$185,066</t>
  </si>
  <si>
    <t>280.35M</t>
  </si>
  <si>
    <t>SwissBorg</t>
  </si>
  <si>
    <t>BORG</t>
  </si>
  <si>
    <t>$0.2706</t>
  </si>
  <si>
    <t>$265,798,946</t>
  </si>
  <si>
    <t>$206,045</t>
  </si>
  <si>
    <t>982.25M</t>
  </si>
  <si>
    <t>Zeebu</t>
  </si>
  <si>
    <t>ZBU</t>
  </si>
  <si>
    <t>$0.6012</t>
  </si>
  <si>
    <t>$248,711,592</t>
  </si>
  <si>
    <t>$162,903</t>
  </si>
  <si>
    <t>413.62M</t>
  </si>
  <si>
    <t>Ape and Pepe</t>
  </si>
  <si>
    <t>APEPE</t>
  </si>
  <si>
    <t>$0.051178</t>
  </si>
  <si>
    <t>0.09%</t>
  </si>
  <si>
    <t>$247,500,195</t>
  </si>
  <si>
    <t>$30,888,957</t>
  </si>
  <si>
    <t>210T</t>
  </si>
  <si>
    <t>Loaded Lions</t>
  </si>
  <si>
    <t>LION</t>
  </si>
  <si>
    <t>$0.006859</t>
  </si>
  <si>
    <t>$211,588,925</t>
  </si>
  <si>
    <t>$719,363</t>
  </si>
  <si>
    <t>30.84B</t>
  </si>
  <si>
    <t>WeFi</t>
  </si>
  <si>
    <t>WFI</t>
  </si>
  <si>
    <t>$2.67</t>
  </si>
  <si>
    <t>0.41%</t>
  </si>
  <si>
    <t>$203,655,032</t>
  </si>
  <si>
    <t>$2,180,013</t>
  </si>
  <si>
    <t>76.17M</t>
  </si>
  <si>
    <t>Popcat (SOL)</t>
  </si>
  <si>
    <t>POPCAT</t>
  </si>
  <si>
    <t>$0.08147</t>
  </si>
  <si>
    <t>0.99%</t>
  </si>
  <si>
    <t>$79,843,036</t>
  </si>
  <si>
    <t>$8,208,437</t>
  </si>
  <si>
    <t>979.97M</t>
  </si>
  <si>
    <t>MANTRA</t>
  </si>
  <si>
    <t>OM</t>
  </si>
  <si>
    <t>$0.06964</t>
  </si>
  <si>
    <t>0.47%</t>
  </si>
  <si>
    <t>$79,635,764</t>
  </si>
  <si>
    <t>$27,951,784</t>
  </si>
  <si>
    <t>Verge</t>
  </si>
  <si>
    <t>XVG</t>
  </si>
  <si>
    <t>$0.004810</t>
  </si>
  <si>
    <t>0.92%</t>
  </si>
  <si>
    <t>$79,478,245</t>
  </si>
  <si>
    <t>$4,045,300</t>
  </si>
  <si>
    <t>16.52B</t>
  </si>
  <si>
    <t>River</t>
  </si>
  <si>
    <t>RIVER</t>
  </si>
  <si>
    <t>$4.05</t>
  </si>
  <si>
    <t>0.35%</t>
  </si>
  <si>
    <t>$79,390,425</t>
  </si>
  <si>
    <t>$20,435,643</t>
  </si>
  <si>
    <t>19.6M</t>
  </si>
  <si>
    <t>XPR Network</t>
  </si>
  <si>
    <t>XPR</t>
  </si>
  <si>
    <t>$0.002808</t>
  </si>
  <si>
    <t>0.10%</t>
  </si>
  <si>
    <t>$79,288,970</t>
  </si>
  <si>
    <t>$2,515,229</t>
  </si>
  <si>
    <t>28.23B</t>
  </si>
  <si>
    <t>Snek</t>
  </si>
  <si>
    <t>SNEK</t>
  </si>
  <si>
    <t>$0.001054</t>
  </si>
  <si>
    <t>0.46%</t>
  </si>
  <si>
    <t>$78,874,838</t>
  </si>
  <si>
    <t>$3,614,454</t>
  </si>
  <si>
    <t>74.76B</t>
  </si>
  <si>
    <t>Loopring</t>
  </si>
  <si>
    <t>LRC</t>
  </si>
  <si>
    <t>$0.05754</t>
  </si>
  <si>
    <t>0.71%</t>
  </si>
  <si>
    <t>$78,721,990</t>
  </si>
  <si>
    <t>$13,802,540</t>
  </si>
  <si>
    <t>1.36B</t>
  </si>
  <si>
    <t>Non-Playable Coin</t>
  </si>
  <si>
    <t>NPC</t>
  </si>
  <si>
    <t>$0.01037</t>
  </si>
  <si>
    <t>0.48%</t>
  </si>
  <si>
    <t>$78,155,285</t>
  </si>
  <si>
    <t>$3,750,878</t>
  </si>
  <si>
    <t>7.53B</t>
  </si>
  <si>
    <t>Oasis</t>
  </si>
  <si>
    <t>ROSE</t>
  </si>
  <si>
    <t>$0.01040</t>
  </si>
  <si>
    <t>0.84%</t>
  </si>
  <si>
    <t>$77,913,243</t>
  </si>
  <si>
    <t>$1,812,441</t>
  </si>
  <si>
    <t>7.48B</t>
  </si>
  <si>
    <t>Drift</t>
  </si>
  <si>
    <t>DRIFT</t>
  </si>
  <si>
    <t>$0.1558</t>
  </si>
  <si>
    <t>0.76%</t>
  </si>
  <si>
    <t>$77,060,203</t>
  </si>
  <si>
    <t>$7,938,135</t>
  </si>
  <si>
    <t>494.54M</t>
  </si>
  <si>
    <t>EUR CoinVertible</t>
  </si>
  <si>
    <t>EURCV</t>
  </si>
  <si>
    <t>$1.17</t>
  </si>
  <si>
    <t>$76,986,337</t>
  </si>
  <si>
    <t>$4,555,095</t>
  </si>
  <si>
    <t>65.75M</t>
  </si>
  <si>
    <t>cat in a dogs world</t>
  </si>
  <si>
    <t>MEW</t>
  </si>
  <si>
    <t>$0.0008652</t>
  </si>
  <si>
    <t>1.00%</t>
  </si>
  <si>
    <t>$76,913,570</t>
  </si>
  <si>
    <t>$12,405,461</t>
  </si>
  <si>
    <t>88.88B</t>
  </si>
  <si>
    <t>Rekt (rekt.com)</t>
  </si>
  <si>
    <t>REKT</t>
  </si>
  <si>
    <t>$0.062742</t>
  </si>
  <si>
    <t>$76,834,825</t>
  </si>
  <si>
    <t>$447,796</t>
  </si>
  <si>
    <t>280.13T</t>
  </si>
  <si>
    <t>aelf</t>
  </si>
  <si>
    <t>ELF</t>
  </si>
  <si>
    <t>$0.09390</t>
  </si>
  <si>
    <t>1.18%</t>
  </si>
  <si>
    <t>$76,645,429</t>
  </si>
  <si>
    <t>$2,729,606</t>
  </si>
  <si>
    <t>816.17M</t>
  </si>
  <si>
    <t>Alchemy Pay</t>
  </si>
  <si>
    <t>ACH</t>
  </si>
  <si>
    <t>$0.007831</t>
  </si>
  <si>
    <t>0.03%</t>
  </si>
  <si>
    <t>$76,634,277</t>
  </si>
  <si>
    <t>$4,586,042</t>
  </si>
  <si>
    <t>9.78B</t>
  </si>
  <si>
    <t>Enjin Coin</t>
  </si>
  <si>
    <t>ENJ</t>
  </si>
  <si>
    <t>$0.02764</t>
  </si>
  <si>
    <t>0.61%</t>
  </si>
  <si>
    <t>$52,914,915</t>
  </si>
  <si>
    <t>$5,555,762</t>
  </si>
  <si>
    <t>1.91B</t>
  </si>
  <si>
    <t>Solayer</t>
  </si>
  <si>
    <t>LAYER</t>
  </si>
  <si>
    <t>$0.1692</t>
  </si>
  <si>
    <t>0.95%</t>
  </si>
  <si>
    <t>$52,882,038</t>
  </si>
  <si>
    <t>$9,820,133</t>
  </si>
  <si>
    <t>312.51M</t>
  </si>
  <si>
    <t>Harmony</t>
  </si>
  <si>
    <t>ONE</t>
  </si>
  <si>
    <t>$0.003558</t>
  </si>
  <si>
    <t>$52,657,130</t>
  </si>
  <si>
    <t>$4,008,415</t>
  </si>
  <si>
    <t>14.79B</t>
  </si>
  <si>
    <t>Infrared</t>
  </si>
  <si>
    <t>IR</t>
  </si>
  <si>
    <t>$0.2577</t>
  </si>
  <si>
    <t>10.08%</t>
  </si>
  <si>
    <t>$52,836,877</t>
  </si>
  <si>
    <t>$166,881,260</t>
  </si>
  <si>
    <t>205M</t>
  </si>
  <si>
    <t>Tokenlon Network Token</t>
  </si>
  <si>
    <t>LON</t>
  </si>
  <si>
    <t>$0.4234</t>
  </si>
  <si>
    <t>$52,548,578</t>
  </si>
  <si>
    <t>$16,913</t>
  </si>
  <si>
    <t>124.08M</t>
  </si>
  <si>
    <t>WOO</t>
  </si>
  <si>
    <t>$0.02773</t>
  </si>
  <si>
    <t>0.96%</t>
  </si>
  <si>
    <t>$52,537,357</t>
  </si>
  <si>
    <t>$12,248,565</t>
  </si>
  <si>
    <t>1.89B</t>
  </si>
  <si>
    <t>Tellor</t>
  </si>
  <si>
    <t>TRB</t>
  </si>
  <si>
    <t>$19.14</t>
  </si>
  <si>
    <t>0.78%</t>
  </si>
  <si>
    <t>$52,368,644</t>
  </si>
  <si>
    <t>$9,477,300</t>
  </si>
  <si>
    <t>2.73M</t>
  </si>
  <si>
    <t>Matrixdock Gold</t>
  </si>
  <si>
    <t>XAUM</t>
  </si>
  <si>
    <t>$4,356.10</t>
  </si>
  <si>
    <t>$52,353,793</t>
  </si>
  <si>
    <t>$120,938</t>
  </si>
  <si>
    <t>12.01K</t>
  </si>
  <si>
    <t>Doodles</t>
  </si>
  <si>
    <t>DOOD</t>
  </si>
  <si>
    <t>$0.006706</t>
  </si>
  <si>
    <t>5.49%</t>
  </si>
  <si>
    <t>$52,309,004</t>
  </si>
  <si>
    <t>$28,154,057</t>
  </si>
  <si>
    <t>7.8B</t>
  </si>
  <si>
    <t>BounceBit</t>
  </si>
  <si>
    <t>BB</t>
  </si>
  <si>
    <t>$0.05638</t>
  </si>
  <si>
    <t>1.23%</t>
  </si>
  <si>
    <t>$52,300,293</t>
  </si>
  <si>
    <t>$6,761,082</t>
  </si>
  <si>
    <t>927.62M</t>
  </si>
  <si>
    <t>VNDC</t>
  </si>
  <si>
    <t>$0.00003698</t>
  </si>
  <si>
    <t>$52,238,423</t>
  </si>
  <si>
    <t>$6,093,856</t>
  </si>
  <si>
    <t>1.41T</t>
  </si>
  <si>
    <t>SMART</t>
  </si>
  <si>
    <t>$0.007750</t>
  </si>
  <si>
    <t>0.11%</t>
  </si>
  <si>
    <t>$52,087,682</t>
  </si>
  <si>
    <t>$621,225</t>
  </si>
  <si>
    <t>6.72B</t>
  </si>
  <si>
    <t>Plume</t>
  </si>
  <si>
    <t>PLUME</t>
  </si>
  <si>
    <t>$0.01655</t>
  </si>
  <si>
    <t>1.77%</t>
  </si>
  <si>
    <t>$51,914,331</t>
  </si>
  <si>
    <t>$56,942,962</t>
  </si>
  <si>
    <t>3.13B</t>
  </si>
  <si>
    <t>siren</t>
  </si>
  <si>
    <t>SIREN</t>
  </si>
  <si>
    <t>$0.07104</t>
  </si>
  <si>
    <t>$51,784,517</t>
  </si>
  <si>
    <t>$11,686,775</t>
  </si>
  <si>
    <t>728.92M</t>
  </si>
  <si>
    <t>peaq</t>
  </si>
  <si>
    <t>PEAQ</t>
  </si>
  <si>
    <t>$0.03121</t>
  </si>
  <si>
    <t>1.27%</t>
  </si>
  <si>
    <t>$51,688,897</t>
  </si>
  <si>
    <t>$4,447,052</t>
  </si>
  <si>
    <t>1.65B</t>
  </si>
  <si>
    <t>OpenLedger</t>
  </si>
  <si>
    <t>OPEN</t>
  </si>
  <si>
    <t>$0.1761</t>
  </si>
  <si>
    <t>1.14%</t>
  </si>
  <si>
    <t>$37,963,403</t>
  </si>
  <si>
    <t>$8,807,387</t>
  </si>
  <si>
    <t>215.5M</t>
  </si>
  <si>
    <t>Derive</t>
  </si>
  <si>
    <t>DRV</t>
  </si>
  <si>
    <t>$0.05145</t>
  </si>
  <si>
    <t>$37,951,269</t>
  </si>
  <si>
    <t>$217,133</t>
  </si>
  <si>
    <t>737.52M</t>
  </si>
  <si>
    <t>deBridge</t>
  </si>
  <si>
    <t>DBR</t>
  </si>
  <si>
    <t>$0.01959</t>
  </si>
  <si>
    <t>0.40%</t>
  </si>
  <si>
    <t>$37,719,971</t>
  </si>
  <si>
    <t>$4,889,683</t>
  </si>
  <si>
    <t>1.92B</t>
  </si>
  <si>
    <t>Constellation</t>
  </si>
  <si>
    <t>DAG</t>
  </si>
  <si>
    <t>$0.01304</t>
  </si>
  <si>
    <t>$37,475,389</t>
  </si>
  <si>
    <t>$8,331,707</t>
  </si>
  <si>
    <t>2.87B</t>
  </si>
  <si>
    <t>Act I : The AI Prophecy</t>
  </si>
  <si>
    <t>ACT</t>
  </si>
  <si>
    <t>$0.03938</t>
  </si>
  <si>
    <t>2.79%</t>
  </si>
  <si>
    <t>$37,344,308</t>
  </si>
  <si>
    <t>$133,808,206</t>
  </si>
  <si>
    <t>948.24M</t>
  </si>
  <si>
    <t>HarryPotterObamaSonic10Inu (ERC-20)</t>
  </si>
  <si>
    <t>BITCOIN</t>
  </si>
  <si>
    <t>$0.03732</t>
  </si>
  <si>
    <t>0.39%</t>
  </si>
  <si>
    <t>$37,321,954</t>
  </si>
  <si>
    <t>$3,794,553</t>
  </si>
  <si>
    <t>999.79M</t>
  </si>
  <si>
    <t>Fractal Bitcoin</t>
  </si>
  <si>
    <t>FB</t>
  </si>
  <si>
    <t>$0.4069</t>
  </si>
  <si>
    <t>$37,236,360</t>
  </si>
  <si>
    <t>$2,801,939</t>
  </si>
  <si>
    <t>91.49M</t>
  </si>
  <si>
    <t>TerraClassicUSD</t>
  </si>
  <si>
    <t>USTC</t>
  </si>
  <si>
    <t>$0.006661</t>
  </si>
  <si>
    <t>1.08%</t>
  </si>
  <si>
    <t>$37,191,884</t>
  </si>
  <si>
    <t>$9,660,516</t>
  </si>
  <si>
    <t>5.58B</t>
  </si>
  <si>
    <t>AgentLISA</t>
  </si>
  <si>
    <t>LISA</t>
  </si>
  <si>
    <t>$0.1720</t>
  </si>
  <si>
    <t>1.32%</t>
  </si>
  <si>
    <t>$37,194,866</t>
  </si>
  <si>
    <t>$335,290,359</t>
  </si>
  <si>
    <t>216.22M</t>
  </si>
  <si>
    <t>Avici</t>
  </si>
  <si>
    <t>AVICI</t>
  </si>
  <si>
    <t>$2.88</t>
  </si>
  <si>
    <t>0.44%</t>
  </si>
  <si>
    <t>$37,194,605</t>
  </si>
  <si>
    <t>$2,504,670</t>
  </si>
  <si>
    <t>12.89M</t>
  </si>
  <si>
    <t>Metis</t>
  </si>
  <si>
    <t>METIS</t>
  </si>
  <si>
    <t>$5.44</t>
  </si>
  <si>
    <t>0.81%</t>
  </si>
  <si>
    <t>$37,123,485</t>
  </si>
  <si>
    <t>$4,761,259</t>
  </si>
  <si>
    <t>6.81M</t>
  </si>
  <si>
    <t>Corn</t>
  </si>
  <si>
    <t>CORN</t>
  </si>
  <si>
    <t>$0.07057</t>
  </si>
  <si>
    <t>0.20%</t>
  </si>
  <si>
    <t>$37,052,831</t>
  </si>
  <si>
    <t>$7,172,434</t>
  </si>
  <si>
    <t>525M</t>
  </si>
  <si>
    <t>Quack AI</t>
  </si>
  <si>
    <t>Q</t>
  </si>
  <si>
    <t>$0.01409</t>
  </si>
  <si>
    <t>$36,968,498</t>
  </si>
  <si>
    <t>$4,049,212</t>
  </si>
  <si>
    <t>2.62B</t>
  </si>
  <si>
    <t>Liquity</t>
  </si>
  <si>
    <t>LQTY</t>
  </si>
  <si>
    <t>$0.3868</t>
  </si>
  <si>
    <t>0.57%</t>
  </si>
  <si>
    <t>$36,948,795</t>
  </si>
  <si>
    <t>$4,091,513</t>
  </si>
  <si>
    <t>95.51M</t>
  </si>
  <si>
    <t>哈基米</t>
  </si>
  <si>
    <t>$0.03671</t>
  </si>
  <si>
    <t>3.19%</t>
  </si>
  <si>
    <t>$36,712,969</t>
  </si>
  <si>
    <t>$3,987,767</t>
  </si>
  <si>
    <t>1B</t>
  </si>
  <si>
    <t>Mango</t>
  </si>
  <si>
    <t>MNGO</t>
  </si>
  <si>
    <t>$0.02516</t>
  </si>
  <si>
    <t>11.86%</t>
  </si>
  <si>
    <t>$28,119,082</t>
  </si>
  <si>
    <t>$228,924</t>
  </si>
  <si>
    <t>1.11B</t>
  </si>
  <si>
    <t>Resolv</t>
  </si>
  <si>
    <t>RESOLV</t>
  </si>
  <si>
    <t>$0.08213</t>
  </si>
  <si>
    <t>3.32%</t>
  </si>
  <si>
    <t>$28,030,314</t>
  </si>
  <si>
    <t>$44,457,598</t>
  </si>
  <si>
    <t>341.26M</t>
  </si>
  <si>
    <t>MetaArena</t>
  </si>
  <si>
    <t>TIMI</t>
  </si>
  <si>
    <t>$0.07681</t>
  </si>
  <si>
    <t>0.05%</t>
  </si>
  <si>
    <t>$27,988,460</t>
  </si>
  <si>
    <t>$11,474,920</t>
  </si>
  <si>
    <t>364.35M</t>
  </si>
  <si>
    <t>Adshares</t>
  </si>
  <si>
    <t>ADS</t>
  </si>
  <si>
    <t>$0.7224</t>
  </si>
  <si>
    <t>0.16%</t>
  </si>
  <si>
    <t>$27,987,125</t>
  </si>
  <si>
    <t>$246,689</t>
  </si>
  <si>
    <t>38.74M</t>
  </si>
  <si>
    <t>Elastos</t>
  </si>
  <si>
    <t>ELA</t>
  </si>
  <si>
    <t>$1.20</t>
  </si>
  <si>
    <t>0.43%</t>
  </si>
  <si>
    <t>$27,755,771</t>
  </si>
  <si>
    <t>$747,728</t>
  </si>
  <si>
    <t>23.03M</t>
  </si>
  <si>
    <t>StrikeX</t>
  </si>
  <si>
    <t>STRX</t>
  </si>
  <si>
    <t>$0.03165</t>
  </si>
  <si>
    <t>$27,627,348</t>
  </si>
  <si>
    <t>N/A</t>
  </si>
  <si>
    <t>872.68M</t>
  </si>
  <si>
    <t>Chintai</t>
  </si>
  <si>
    <t>CHEX</t>
  </si>
  <si>
    <t>$0.02755</t>
  </si>
  <si>
    <t>$27,523,754</t>
  </si>
  <si>
    <t>$517,282</t>
  </si>
  <si>
    <t>998.92M</t>
  </si>
  <si>
    <t>Electronic USD</t>
  </si>
  <si>
    <t>eUSD</t>
  </si>
  <si>
    <t>$27,488,408</t>
  </si>
  <si>
    <t>$795</t>
  </si>
  <si>
    <t>27.49M</t>
  </si>
  <si>
    <t>DORA</t>
  </si>
  <si>
    <t>$0.02770</t>
  </si>
  <si>
    <t>$27,429,852</t>
  </si>
  <si>
    <t>$335,896</t>
  </si>
  <si>
    <t>990.08M</t>
  </si>
  <si>
    <t>Mira</t>
  </si>
  <si>
    <t>MIRA</t>
  </si>
  <si>
    <t>$0.1278</t>
  </si>
  <si>
    <t>1.40%</t>
  </si>
  <si>
    <t>$27,369,787</t>
  </si>
  <si>
    <t>$21,891,403</t>
  </si>
  <si>
    <t>214.02M</t>
  </si>
  <si>
    <t>B3 (Base)</t>
  </si>
  <si>
    <t>B3</t>
  </si>
  <si>
    <t>$0.0008708</t>
  </si>
  <si>
    <t>0.87%</t>
  </si>
  <si>
    <t>$27,319,469</t>
  </si>
  <si>
    <t>$1,830,097</t>
  </si>
  <si>
    <t>31.37B</t>
  </si>
  <si>
    <t>Ore</t>
  </si>
  <si>
    <t>ORE</t>
  </si>
  <si>
    <t>$65.61</t>
  </si>
  <si>
    <t>0.52%</t>
  </si>
  <si>
    <t>$27,270,904</t>
  </si>
  <si>
    <t>$875,162</t>
  </si>
  <si>
    <t>415.6K</t>
  </si>
  <si>
    <t>Orchid</t>
  </si>
  <si>
    <t>OXT</t>
  </si>
  <si>
    <t>$0.02726</t>
  </si>
  <si>
    <t>2.14%</t>
  </si>
  <si>
    <t>$27,189,900</t>
  </si>
  <si>
    <t>$13,350,372</t>
  </si>
  <si>
    <t>997.21M</t>
  </si>
  <si>
    <t>MediBloc</t>
  </si>
  <si>
    <t>MED</t>
  </si>
  <si>
    <t>$0.002547</t>
  </si>
  <si>
    <t>0.04%</t>
  </si>
  <si>
    <t>$27,118,205</t>
  </si>
  <si>
    <t>$1,104,839</t>
  </si>
  <si>
    <t>10.64B</t>
  </si>
  <si>
    <t>saffron.finance</t>
  </si>
  <si>
    <t>SFI</t>
  </si>
  <si>
    <t>$295.72</t>
  </si>
  <si>
    <t>$27,036,164</t>
  </si>
  <si>
    <t>$8,276</t>
  </si>
  <si>
    <t>91.42K</t>
  </si>
  <si>
    <t>Vulcan Forged (PYR)</t>
  </si>
  <si>
    <t>PYR</t>
  </si>
  <si>
    <t>$0.4737</t>
  </si>
  <si>
    <t>$21,288,910</t>
  </si>
  <si>
    <t>$3,537,872</t>
  </si>
  <si>
    <t>44.93M</t>
  </si>
  <si>
    <t>Ampleforth Governance Token</t>
  </si>
  <si>
    <t>FORTH</t>
  </si>
  <si>
    <t>$1.47</t>
  </si>
  <si>
    <t>0.73%</t>
  </si>
  <si>
    <t>$21,183,785</t>
  </si>
  <si>
    <t>$2,383,053</t>
  </si>
  <si>
    <t>14.34M</t>
  </si>
  <si>
    <t>Naoris Protocol</t>
  </si>
  <si>
    <t>NAORIS</t>
  </si>
  <si>
    <t>$0.03512</t>
  </si>
  <si>
    <t>$21,051,661</t>
  </si>
  <si>
    <t>$1,063,941</t>
  </si>
  <si>
    <t>599.26M</t>
  </si>
  <si>
    <t>Everlyn AI</t>
  </si>
  <si>
    <t>LYN</t>
  </si>
  <si>
    <t>$0.08225</t>
  </si>
  <si>
    <t>$21,028,312</t>
  </si>
  <si>
    <t>$2,355,636</t>
  </si>
  <si>
    <t>255.63M</t>
  </si>
  <si>
    <t>Limitless</t>
  </si>
  <si>
    <t>LMTS</t>
  </si>
  <si>
    <t>$0.1591</t>
  </si>
  <si>
    <t>$20,942,083</t>
  </si>
  <si>
    <t>$1,755,539</t>
  </si>
  <si>
    <t>131.59M</t>
  </si>
  <si>
    <t>Maverick Protocol</t>
  </si>
  <si>
    <t>MAV</t>
  </si>
  <si>
    <t>$0.02639</t>
  </si>
  <si>
    <t>$20,926,607</t>
  </si>
  <si>
    <t>$1,923,605</t>
  </si>
  <si>
    <t>792.71M</t>
  </si>
  <si>
    <t>Invesco QQQ Tokenized ETF (Ondo)</t>
  </si>
  <si>
    <t>QQQon</t>
  </si>
  <si>
    <t>$619.68</t>
  </si>
  <si>
    <t>$20,833,689</t>
  </si>
  <si>
    <t>$301,856</t>
  </si>
  <si>
    <t>33.61K</t>
  </si>
  <si>
    <t>Roam</t>
  </si>
  <si>
    <t>ROAM</t>
  </si>
  <si>
    <t>$0.06274</t>
  </si>
  <si>
    <t>$20,792,425</t>
  </si>
  <si>
    <t>$6,073,198</t>
  </si>
  <si>
    <t>331.38M</t>
  </si>
  <si>
    <t>Chainbase</t>
  </si>
  <si>
    <t>C</t>
  </si>
  <si>
    <t>$0.08458</t>
  </si>
  <si>
    <t>$20,783,563</t>
  </si>
  <si>
    <t>$4,249,210</t>
  </si>
  <si>
    <t>245.71M</t>
  </si>
  <si>
    <t>MAX Exchange Token</t>
  </si>
  <si>
    <t>MAX</t>
  </si>
  <si>
    <t>$0.3212</t>
  </si>
  <si>
    <t>$20,765,268</t>
  </si>
  <si>
    <t>$12,916</t>
  </si>
  <si>
    <t>64.63M</t>
  </si>
  <si>
    <t>Puffer</t>
  </si>
  <si>
    <t>PUFFER</t>
  </si>
  <si>
    <t>$0.05974</t>
  </si>
  <si>
    <t>1.05%</t>
  </si>
  <si>
    <t>$20,742,584</t>
  </si>
  <si>
    <t>$2,668,050</t>
  </si>
  <si>
    <t>347.18M</t>
  </si>
  <si>
    <t>Autonolas</t>
  </si>
  <si>
    <t>OLAS</t>
  </si>
  <si>
    <t>$0.08999</t>
  </si>
  <si>
    <t>$20,691,287</t>
  </si>
  <si>
    <t>$208,497</t>
  </si>
  <si>
    <t>229.91M</t>
  </si>
  <si>
    <t>Cetus Protocol</t>
  </si>
  <si>
    <t>CETUS</t>
  </si>
  <si>
    <t>$0.02336</t>
  </si>
  <si>
    <t>1.04%</t>
  </si>
  <si>
    <t>$20,664,141</t>
  </si>
  <si>
    <t>$3,496,040</t>
  </si>
  <si>
    <t>884.42M</t>
  </si>
  <si>
    <t>Bless</t>
  </si>
  <si>
    <t>BLESS</t>
  </si>
  <si>
    <t>$0.01121</t>
  </si>
  <si>
    <t>3.97%</t>
  </si>
  <si>
    <t>$20,653,599</t>
  </si>
  <si>
    <t>$4,005,780</t>
  </si>
  <si>
    <t>1.84B</t>
  </si>
  <si>
    <t>GaiAI</t>
  </si>
  <si>
    <t>GAIX</t>
  </si>
  <si>
    <t>$0.1254</t>
  </si>
  <si>
    <t>0.26%</t>
  </si>
  <si>
    <t>$20,601,570</t>
  </si>
  <si>
    <t>$145,854,360</t>
  </si>
  <si>
    <t>164.16M</t>
  </si>
  <si>
    <t>Xphere</t>
  </si>
  <si>
    <t>XP</t>
  </si>
  <si>
    <t>$0.006957</t>
  </si>
  <si>
    <t>$16,424,993</t>
  </si>
  <si>
    <t>$1,358,758</t>
  </si>
  <si>
    <t>2.36B</t>
  </si>
  <si>
    <t>Circle Internet Group Tokenized Stock (Ondo)</t>
  </si>
  <si>
    <t>CRCLon</t>
  </si>
  <si>
    <t>$86.24</t>
  </si>
  <si>
    <t>$16,385,663</t>
  </si>
  <si>
    <t>$320,378</t>
  </si>
  <si>
    <t>189.97K</t>
  </si>
  <si>
    <t>BugsCoin</t>
  </si>
  <si>
    <t>BGSC</t>
  </si>
  <si>
    <t>$0.001412</t>
  </si>
  <si>
    <t>$16,331,453</t>
  </si>
  <si>
    <t>$3,739,115</t>
  </si>
  <si>
    <t>11.56B</t>
  </si>
  <si>
    <t>ROGin AI</t>
  </si>
  <si>
    <t>ROG</t>
  </si>
  <si>
    <t>$0.2422</t>
  </si>
  <si>
    <t>0.08%</t>
  </si>
  <si>
    <t>$16,227,020</t>
  </si>
  <si>
    <t>$1,281</t>
  </si>
  <si>
    <t>66.98M</t>
  </si>
  <si>
    <t>Ponke</t>
  </si>
  <si>
    <t>PONKE</t>
  </si>
  <si>
    <t>$0.02918</t>
  </si>
  <si>
    <t>0.98%</t>
  </si>
  <si>
    <t>$16,215,310</t>
  </si>
  <si>
    <t>$2,062,193</t>
  </si>
  <si>
    <t>555.54M</t>
  </si>
  <si>
    <t>Vanar Chain</t>
  </si>
  <si>
    <t>VANRY</t>
  </si>
  <si>
    <t>$0.007526</t>
  </si>
  <si>
    <t>$16,198,555</t>
  </si>
  <si>
    <t>$1,758,366</t>
  </si>
  <si>
    <t>2.15B</t>
  </si>
  <si>
    <t>Treehouse</t>
  </si>
  <si>
    <t>TREE</t>
  </si>
  <si>
    <t>$0.1037</t>
  </si>
  <si>
    <t>0.53%</t>
  </si>
  <si>
    <t>$16,192,876</t>
  </si>
  <si>
    <t>$12,492,258</t>
  </si>
  <si>
    <t>156.12M</t>
  </si>
  <si>
    <t>Polyhedra Network</t>
  </si>
  <si>
    <t>ZKJ</t>
  </si>
  <si>
    <t>$0.03853</t>
  </si>
  <si>
    <t>0.79%</t>
  </si>
  <si>
    <t>$16,064,356</t>
  </si>
  <si>
    <t>$3,422,837</t>
  </si>
  <si>
    <t>416.83M</t>
  </si>
  <si>
    <t>AS Roma Fan Token</t>
  </si>
  <si>
    <t>ASR</t>
  </si>
  <si>
    <t>$1.99</t>
  </si>
  <si>
    <t>9.59%</t>
  </si>
  <si>
    <t>$15,954,600</t>
  </si>
  <si>
    <t>$70,480,379</t>
  </si>
  <si>
    <t>8.01M</t>
  </si>
  <si>
    <t>Mythos</t>
  </si>
  <si>
    <t>MYTH</t>
  </si>
  <si>
    <t>$0.01833</t>
  </si>
  <si>
    <t>$15,950,372</t>
  </si>
  <si>
    <t>$59,278</t>
  </si>
  <si>
    <t>869.7M</t>
  </si>
  <si>
    <t>Neutron</t>
  </si>
  <si>
    <t>NTRN</t>
  </si>
  <si>
    <t>$0.02523</t>
  </si>
  <si>
    <t>$15,923,641</t>
  </si>
  <si>
    <t>$1,014,645</t>
  </si>
  <si>
    <t>630.89M</t>
  </si>
  <si>
    <t>Highstreet</t>
  </si>
  <si>
    <t>HIGH</t>
  </si>
  <si>
    <t>$0.2051</t>
  </si>
  <si>
    <t>$15,920,691</t>
  </si>
  <si>
    <t>$2,920,453</t>
  </si>
  <si>
    <t>77.59M</t>
  </si>
  <si>
    <t>Avail</t>
  </si>
  <si>
    <t>AVAIL</t>
  </si>
  <si>
    <t>$0.006745</t>
  </si>
  <si>
    <t>$15,826,267</t>
  </si>
  <si>
    <t>$1,644,731</t>
  </si>
  <si>
    <t>2.34B</t>
  </si>
  <si>
    <t>PepeCoin</t>
  </si>
  <si>
    <t>PEPECOIN</t>
  </si>
  <si>
    <t>$0.1476</t>
  </si>
  <si>
    <t>$15,812,322</t>
  </si>
  <si>
    <t>$306,847</t>
  </si>
  <si>
    <t>107.05M</t>
  </si>
  <si>
    <t>CREPE</t>
  </si>
  <si>
    <t>$0.00002707</t>
  </si>
  <si>
    <t>0.23%</t>
  </si>
  <si>
    <t>$15,724,357</t>
  </si>
  <si>
    <t>$1,795,661</t>
  </si>
  <si>
    <t>580.81B</t>
  </si>
  <si>
    <t>Coq Inu</t>
  </si>
  <si>
    <t>COQ</t>
  </si>
  <si>
    <t>$0.061891</t>
  </si>
  <si>
    <t>$13,134,119</t>
  </si>
  <si>
    <t>$1,516,517</t>
  </si>
  <si>
    <t>69.42T</t>
  </si>
  <si>
    <t>Alltoscan</t>
  </si>
  <si>
    <t>ATS</t>
  </si>
  <si>
    <t>$0.1312</t>
  </si>
  <si>
    <t>0.67%</t>
  </si>
  <si>
    <t>$13,123,357</t>
  </si>
  <si>
    <t>$145,988</t>
  </si>
  <si>
    <t>100M</t>
  </si>
  <si>
    <t>Zeta</t>
  </si>
  <si>
    <t>ZEX</t>
  </si>
  <si>
    <t>$0.06961</t>
  </si>
  <si>
    <t>$13,070,849</t>
  </si>
  <si>
    <t>$209,476</t>
  </si>
  <si>
    <t>187.76M</t>
  </si>
  <si>
    <t>Wecan Group</t>
  </si>
  <si>
    <t>WECAN</t>
  </si>
  <si>
    <t>$0.002174</t>
  </si>
  <si>
    <t>$13,047,966</t>
  </si>
  <si>
    <t>$398,978</t>
  </si>
  <si>
    <t>6B</t>
  </si>
  <si>
    <t>XSGD</t>
  </si>
  <si>
    <t>$0.7740</t>
  </si>
  <si>
    <t>$12,991,779</t>
  </si>
  <si>
    <t>$168,599</t>
  </si>
  <si>
    <t>16.78M</t>
  </si>
  <si>
    <t>Splendor</t>
  </si>
  <si>
    <t>SPLD</t>
  </si>
  <si>
    <t>$0.2905</t>
  </si>
  <si>
    <t>$12,990,382</t>
  </si>
  <si>
    <t>$10,235</t>
  </si>
  <si>
    <t>44.7M</t>
  </si>
  <si>
    <t>Avalon Labs (AVL)</t>
  </si>
  <si>
    <t>AVL</t>
  </si>
  <si>
    <t>$0.08013</t>
  </si>
  <si>
    <t>1.76%</t>
  </si>
  <si>
    <t>$12,956,897</t>
  </si>
  <si>
    <t>$12,775,882</t>
  </si>
  <si>
    <t>161.68M</t>
  </si>
  <si>
    <t>BFG Token</t>
  </si>
  <si>
    <t>BFG</t>
  </si>
  <si>
    <t>$0.01150</t>
  </si>
  <si>
    <t>0.07%</t>
  </si>
  <si>
    <t>$12,915,133</t>
  </si>
  <si>
    <t>$14,942</t>
  </si>
  <si>
    <t>1.12B</t>
  </si>
  <si>
    <t>GYEN</t>
  </si>
  <si>
    <t>$0.006114</t>
  </si>
  <si>
    <t>$12,833,597</t>
  </si>
  <si>
    <t>$72</t>
  </si>
  <si>
    <t>2.09B</t>
  </si>
  <si>
    <t>Alien Worlds</t>
  </si>
  <si>
    <t>TLM</t>
  </si>
  <si>
    <t>$0.002048</t>
  </si>
  <si>
    <t>$12,792,501</t>
  </si>
  <si>
    <t>$3,233,342</t>
  </si>
  <si>
    <t>6.24B</t>
  </si>
  <si>
    <t>Alphabet Class A Tokenized Stock (Ondo)</t>
  </si>
  <si>
    <t>GOOGLon</t>
  </si>
  <si>
    <t>$307.41</t>
  </si>
  <si>
    <t>$12,758,781</t>
  </si>
  <si>
    <t>$294,571</t>
  </si>
  <si>
    <t>41.5K</t>
  </si>
  <si>
    <t>Infinity Ground</t>
  </si>
  <si>
    <t>AIN</t>
  </si>
  <si>
    <t>$0.04964</t>
  </si>
  <si>
    <t>1.79%</t>
  </si>
  <si>
    <t>$12,748,368</t>
  </si>
  <si>
    <t>$2,579,371</t>
  </si>
  <si>
    <t>256.77M</t>
  </si>
  <si>
    <t>ColossusXT</t>
  </si>
  <si>
    <t>COLX</t>
  </si>
  <si>
    <t>$0.0009845</t>
  </si>
  <si>
    <t>$12,536,278</t>
  </si>
  <si>
    <t>12.73B</t>
  </si>
  <si>
    <t>Pikaboss</t>
  </si>
  <si>
    <t>PIKA</t>
  </si>
  <si>
    <t>$0.072978</t>
  </si>
  <si>
    <t>$12,528,439</t>
  </si>
  <si>
    <t>420.69T</t>
  </si>
  <si>
    <t>Agoras: Tau Net</t>
  </si>
  <si>
    <t>AGRS</t>
  </si>
  <si>
    <t>$0.4192</t>
  </si>
  <si>
    <t>$12,520,555</t>
  </si>
  <si>
    <t>$11,382</t>
  </si>
  <si>
    <t>29.86M</t>
  </si>
  <si>
    <t>PayAI Network</t>
  </si>
  <si>
    <t>PAYAI</t>
  </si>
  <si>
    <t>$0.01026</t>
  </si>
  <si>
    <t>6.80%</t>
  </si>
  <si>
    <t>$10,263,393</t>
  </si>
  <si>
    <t>$3,725,662</t>
  </si>
  <si>
    <t>999.92M</t>
  </si>
  <si>
    <t>Tokemak</t>
  </si>
  <si>
    <t>TOKE</t>
  </si>
  <si>
    <t>$0.1210</t>
  </si>
  <si>
    <t>$10,218,253</t>
  </si>
  <si>
    <t>$24,050</t>
  </si>
  <si>
    <t>84.37M</t>
  </si>
  <si>
    <t>Diamond</t>
  </si>
  <si>
    <t>DMD</t>
  </si>
  <si>
    <t>$2.62</t>
  </si>
  <si>
    <t>0.70%</t>
  </si>
  <si>
    <t>$10,209,935</t>
  </si>
  <si>
    <t>$58,863</t>
  </si>
  <si>
    <t>3.88M</t>
  </si>
  <si>
    <t>World of Dypians</t>
  </si>
  <si>
    <t>WOD</t>
  </si>
  <si>
    <t>$0.02748</t>
  </si>
  <si>
    <t>$10,181,572</t>
  </si>
  <si>
    <t>$2,890,350</t>
  </si>
  <si>
    <t>370.45M</t>
  </si>
  <si>
    <t>Heima</t>
  </si>
  <si>
    <t>HEI</t>
  </si>
  <si>
    <t>$0.1197</t>
  </si>
  <si>
    <t>$10,177,709</t>
  </si>
  <si>
    <t>$1,745,887</t>
  </si>
  <si>
    <t>84.98M</t>
  </si>
  <si>
    <t>World3</t>
  </si>
  <si>
    <t>WAI</t>
  </si>
  <si>
    <t>$0.03590</t>
  </si>
  <si>
    <t>$10,176,763</t>
  </si>
  <si>
    <t>$1,968,426</t>
  </si>
  <si>
    <t>283.42M</t>
  </si>
  <si>
    <t>SWEAT</t>
  </si>
  <si>
    <t>$10,154,660</t>
  </si>
  <si>
    <t>$1,493,484</t>
  </si>
  <si>
    <t>7.19B</t>
  </si>
  <si>
    <t>Bella Protocol</t>
  </si>
  <si>
    <t>BEL</t>
  </si>
  <si>
    <t>$0.1268</t>
  </si>
  <si>
    <t>$10,144,538</t>
  </si>
  <si>
    <t>$5,375,471</t>
  </si>
  <si>
    <t>80M</t>
  </si>
  <si>
    <t>AVA</t>
  </si>
  <si>
    <t>$0.01014</t>
  </si>
  <si>
    <t>0.50%</t>
  </si>
  <si>
    <t>$10,134,613</t>
  </si>
  <si>
    <t>$3,304,619</t>
  </si>
  <si>
    <t>999.2M</t>
  </si>
  <si>
    <t>Telos</t>
  </si>
  <si>
    <t>TLOS</t>
  </si>
  <si>
    <t>$0.02272</t>
  </si>
  <si>
    <t>$10,134,565</t>
  </si>
  <si>
    <t>$1,806,828</t>
  </si>
  <si>
    <t>445.87M</t>
  </si>
  <si>
    <t>SIX Token</t>
  </si>
  <si>
    <t>SIX</t>
  </si>
  <si>
    <t>$0.01190</t>
  </si>
  <si>
    <t>0.88%</t>
  </si>
  <si>
    <t>$10,130,034</t>
  </si>
  <si>
    <t>$541,292</t>
  </si>
  <si>
    <t>850.96M</t>
  </si>
  <si>
    <t>Houdini Swap</t>
  </si>
  <si>
    <t>LOCK</t>
  </si>
  <si>
    <t>$0.1114</t>
  </si>
  <si>
    <t>$10,120,696</t>
  </si>
  <si>
    <t>$7,551</t>
  </si>
  <si>
    <t>90.79M</t>
  </si>
  <si>
    <t>iShares MSCI EAFE Tokenized ETF (Ondo)</t>
  </si>
  <si>
    <t>EFAon</t>
  </si>
  <si>
    <t>$96.87</t>
  </si>
  <si>
    <t>$10,092,193</t>
  </si>
  <si>
    <t>104.17K</t>
  </si>
  <si>
    <t>Tether Gold Tokens</t>
  </si>
  <si>
    <t>XAUT0</t>
  </si>
  <si>
    <t>$4,354.60</t>
  </si>
  <si>
    <t>$10,087,488</t>
  </si>
  <si>
    <t>$95,760</t>
  </si>
  <si>
    <t>2.31K</t>
  </si>
  <si>
    <t>Keyboard Cat</t>
  </si>
  <si>
    <t>KEYCAT</t>
  </si>
  <si>
    <t>$0.001010</t>
  </si>
  <si>
    <t>$10,100,897</t>
  </si>
  <si>
    <t>$398,895</t>
  </si>
  <si>
    <t>10B</t>
  </si>
  <si>
    <t>DuckChain</t>
  </si>
  <si>
    <t>DUCK</t>
  </si>
  <si>
    <t>$0.001135</t>
  </si>
  <si>
    <t>$8,122,293</t>
  </si>
  <si>
    <t>$2,571,910</t>
  </si>
  <si>
    <t>7.15B</t>
  </si>
  <si>
    <t>Kryll</t>
  </si>
  <si>
    <t>KRL</t>
  </si>
  <si>
    <t>$0.2031</t>
  </si>
  <si>
    <t>$8,105,168</t>
  </si>
  <si>
    <t>$197,847</t>
  </si>
  <si>
    <t>39.9M</t>
  </si>
  <si>
    <t>xU3O8</t>
  </si>
  <si>
    <t>XU3O8</t>
  </si>
  <si>
    <t>$5.05</t>
  </si>
  <si>
    <t>$8,086,725</t>
  </si>
  <si>
    <t>$2,041,502</t>
  </si>
  <si>
    <t>1.6M</t>
  </si>
  <si>
    <t>Stonks</t>
  </si>
  <si>
    <t>STNK</t>
  </si>
  <si>
    <t>$13.89</t>
  </si>
  <si>
    <t>$8,086,075</t>
  </si>
  <si>
    <t>$81,528</t>
  </si>
  <si>
    <t>581.88K</t>
  </si>
  <si>
    <t>HAiO</t>
  </si>
  <si>
    <t>HAIO</t>
  </si>
  <si>
    <t>$0.02431</t>
  </si>
  <si>
    <t>0.33%</t>
  </si>
  <si>
    <t>$8,072,787</t>
  </si>
  <si>
    <t>$1,922,221</t>
  </si>
  <si>
    <t>331.98M</t>
  </si>
  <si>
    <t>Brickken</t>
  </si>
  <si>
    <t>BKN</t>
  </si>
  <si>
    <t>$0.09954</t>
  </si>
  <si>
    <t>$8,024,621</t>
  </si>
  <si>
    <t>$222,727</t>
  </si>
  <si>
    <t>80.61M</t>
  </si>
  <si>
    <t>QuickSwap [Old]</t>
  </si>
  <si>
    <t>QUICK</t>
  </si>
  <si>
    <t>$11.30</t>
  </si>
  <si>
    <t>0.19%</t>
  </si>
  <si>
    <t>$7,986,894</t>
  </si>
  <si>
    <t>$1,293</t>
  </si>
  <si>
    <t>706.33K</t>
  </si>
  <si>
    <t>Cointel</t>
  </si>
  <si>
    <t>COLS</t>
  </si>
  <si>
    <t>$0.01408</t>
  </si>
  <si>
    <t>$7,979,231</t>
  </si>
  <si>
    <t>$2,089,834</t>
  </si>
  <si>
    <t>566.34M</t>
  </si>
  <si>
    <t>Quantoz USDQ</t>
  </si>
  <si>
    <t>USDQ</t>
  </si>
  <si>
    <t>$0.9991</t>
  </si>
  <si>
    <t>$7,973,287</t>
  </si>
  <si>
    <t>$3,377,869</t>
  </si>
  <si>
    <t>7.98M</t>
  </si>
  <si>
    <t>Daddy Tate</t>
  </si>
  <si>
    <t>DADDY</t>
  </si>
  <si>
    <t>$0.01328</t>
  </si>
  <si>
    <t>4.76%</t>
  </si>
  <si>
    <t>$7,967,451</t>
  </si>
  <si>
    <t>$1,560,930</t>
  </si>
  <si>
    <t>599.62M</t>
  </si>
  <si>
    <t>0x0.ai</t>
  </si>
  <si>
    <t>0x0</t>
  </si>
  <si>
    <t>$0.009157</t>
  </si>
  <si>
    <t>$7,953,928</t>
  </si>
  <si>
    <t>$7,410</t>
  </si>
  <si>
    <t>868.56M</t>
  </si>
  <si>
    <t>Equilibria Finance</t>
  </si>
  <si>
    <t>EQB</t>
  </si>
  <si>
    <t>$0.2347</t>
  </si>
  <si>
    <t>$7,940,136</t>
  </si>
  <si>
    <t>$3,179</t>
  </si>
  <si>
    <t>33.82M</t>
  </si>
  <si>
    <t>Russell</t>
  </si>
  <si>
    <t>RUSSELL</t>
  </si>
  <si>
    <t>$0.008176</t>
  </si>
  <si>
    <t>4.00%</t>
  </si>
  <si>
    <t>$7,939,043</t>
  </si>
  <si>
    <t>$4,301,672</t>
  </si>
  <si>
    <t>970.98M</t>
  </si>
  <si>
    <t>Venus LINK</t>
  </si>
  <si>
    <t>vLINK</t>
  </si>
  <si>
    <t>$0.2565</t>
  </si>
  <si>
    <t>$7,928,209</t>
  </si>
  <si>
    <t>30.9M</t>
  </si>
  <si>
    <t>Fair and Free</t>
  </si>
  <si>
    <t>FAIR3</t>
  </si>
  <si>
    <t>$0.008457</t>
  </si>
  <si>
    <t>$7,914,890</t>
  </si>
  <si>
    <t>$77,409</t>
  </si>
  <si>
    <t>935.81M</t>
  </si>
  <si>
    <t>Konnect</t>
  </si>
  <si>
    <t>KCT</t>
  </si>
  <si>
    <t>$0.0008505</t>
  </si>
  <si>
    <t>$6,272,861</t>
  </si>
  <si>
    <t>$273,867</t>
  </si>
  <si>
    <t>7.37B</t>
  </si>
  <si>
    <t>GOLDAO</t>
  </si>
  <si>
    <t>$0.007905</t>
  </si>
  <si>
    <t>$6,265,404</t>
  </si>
  <si>
    <t>$2,426</t>
  </si>
  <si>
    <t>792.55M</t>
  </si>
  <si>
    <t>WHY</t>
  </si>
  <si>
    <t>$0.071489</t>
  </si>
  <si>
    <t>$6,254,137</t>
  </si>
  <si>
    <t>$212,197</t>
  </si>
  <si>
    <t>420T</t>
  </si>
  <si>
    <t>Semantic Layer</t>
  </si>
  <si>
    <t>42</t>
  </si>
  <si>
    <t>$0.04219</t>
  </si>
  <si>
    <t>$6,251,681</t>
  </si>
  <si>
    <t>$1,825,074</t>
  </si>
  <si>
    <t>148.16M</t>
  </si>
  <si>
    <t>Scallop</t>
  </si>
  <si>
    <t>SCA</t>
  </si>
  <si>
    <t>$0.04441</t>
  </si>
  <si>
    <t>$6,230,699</t>
  </si>
  <si>
    <t>$1,228,669</t>
  </si>
  <si>
    <t>140.28M</t>
  </si>
  <si>
    <t>dHedge DAO</t>
  </si>
  <si>
    <t>DHT</t>
  </si>
  <si>
    <t>$0.1143</t>
  </si>
  <si>
    <t>$6,216,056</t>
  </si>
  <si>
    <t>$3,022</t>
  </si>
  <si>
    <t>54.37M</t>
  </si>
  <si>
    <t>KAN</t>
  </si>
  <si>
    <t>$0.0006407</t>
  </si>
  <si>
    <t>$6,207,938</t>
  </si>
  <si>
    <t>$40,938</t>
  </si>
  <si>
    <t>9.68B</t>
  </si>
  <si>
    <t>LC SHIB</t>
  </si>
  <si>
    <t>LC</t>
  </si>
  <si>
    <t>$0.006568</t>
  </si>
  <si>
    <t>$6,205,613</t>
  </si>
  <si>
    <t>$247,193</t>
  </si>
  <si>
    <t>944.7M</t>
  </si>
  <si>
    <t>DOWGE</t>
  </si>
  <si>
    <t>DJI6930</t>
  </si>
  <si>
    <t>$0.006161</t>
  </si>
  <si>
    <t>$6,161,025</t>
  </si>
  <si>
    <t>$524,306</t>
  </si>
  <si>
    <t>999.97M</t>
  </si>
  <si>
    <t>Stake DAO</t>
  </si>
  <si>
    <t>SDT</t>
  </si>
  <si>
    <t>$6,160,387</t>
  </si>
  <si>
    <t>23.89M</t>
  </si>
  <si>
    <t>MemeFi</t>
  </si>
  <si>
    <t>MEMEFI</t>
  </si>
  <si>
    <t>$0.0006129</t>
  </si>
  <si>
    <t>$6,129,073</t>
  </si>
  <si>
    <t>$2,807,172</t>
  </si>
  <si>
    <t>Aurory</t>
  </si>
  <si>
    <t>AURY</t>
  </si>
  <si>
    <t>$0.08156</t>
  </si>
  <si>
    <t>$6,127,767</t>
  </si>
  <si>
    <t>$91,514</t>
  </si>
  <si>
    <t>75.12M</t>
  </si>
  <si>
    <t>Purple Bitcoin</t>
  </si>
  <si>
    <t>PBTC</t>
  </si>
  <si>
    <t>$0.3166</t>
  </si>
  <si>
    <t>$6,115,705</t>
  </si>
  <si>
    <t>$102,283</t>
  </si>
  <si>
    <t>19.31M</t>
  </si>
  <si>
    <t>Games for a Living</t>
  </si>
  <si>
    <t>GFAL</t>
  </si>
  <si>
    <t>$0.001651</t>
  </si>
  <si>
    <t>$6,114,215</t>
  </si>
  <si>
    <t>$87,536</t>
  </si>
  <si>
    <t>3.7B</t>
  </si>
  <si>
    <t>B-Lucky</t>
  </si>
  <si>
    <t>LUCKY</t>
  </si>
  <si>
    <t>$0.006103</t>
  </si>
  <si>
    <t>$6,103,902</t>
  </si>
  <si>
    <t>$27,657</t>
  </si>
  <si>
    <t>AIVille Governance Token</t>
  </si>
  <si>
    <t>AIV</t>
  </si>
  <si>
    <t>$0.001790</t>
  </si>
  <si>
    <t>$4,972,149</t>
  </si>
  <si>
    <t>$12,701</t>
  </si>
  <si>
    <t>2.77B</t>
  </si>
  <si>
    <t>Stella</t>
  </si>
  <si>
    <t>ALPHA</t>
  </si>
  <si>
    <t>$0.005157</t>
  </si>
  <si>
    <t>$4,956,333</t>
  </si>
  <si>
    <t>$295,321</t>
  </si>
  <si>
    <t>961M</t>
  </si>
  <si>
    <t>Electra Protocol</t>
  </si>
  <si>
    <t>XEP</t>
  </si>
  <si>
    <t>$0.0002695</t>
  </si>
  <si>
    <t>$4,939,957</t>
  </si>
  <si>
    <t>$126,269</t>
  </si>
  <si>
    <t>18.32B</t>
  </si>
  <si>
    <t>Lingo</t>
  </si>
  <si>
    <t>LINGO</t>
  </si>
  <si>
    <t>$0.01013</t>
  </si>
  <si>
    <t>$4,925,795</t>
  </si>
  <si>
    <t>$361,696</t>
  </si>
  <si>
    <t>486.2M</t>
  </si>
  <si>
    <t>My Lovely Planet</t>
  </si>
  <si>
    <t>MLC</t>
  </si>
  <si>
    <t>$0.05287</t>
  </si>
  <si>
    <t>$4,925,368</t>
  </si>
  <si>
    <t>$442,896</t>
  </si>
  <si>
    <t>93.14M</t>
  </si>
  <si>
    <t>Upland (SPARKLET)</t>
  </si>
  <si>
    <t>SPARKLET</t>
  </si>
  <si>
    <t>$0.02099</t>
  </si>
  <si>
    <t>$4,922,842</t>
  </si>
  <si>
    <t>$278,183</t>
  </si>
  <si>
    <t>234.52M</t>
  </si>
  <si>
    <t>Helium IOT</t>
  </si>
  <si>
    <t>IOT</t>
  </si>
  <si>
    <t>$0.0002424</t>
  </si>
  <si>
    <t>$4,911,058</t>
  </si>
  <si>
    <t>$487</t>
  </si>
  <si>
    <t>20.25B</t>
  </si>
  <si>
    <t>Broccoli (firstbroccoli.com)</t>
  </si>
  <si>
    <t>BROCCOLI</t>
  </si>
  <si>
    <t>$0.004892</t>
  </si>
  <si>
    <t>$4,892,467</t>
  </si>
  <si>
    <t>$854,807</t>
  </si>
  <si>
    <t>WELF</t>
  </si>
  <si>
    <t>$0.3854</t>
  </si>
  <si>
    <t>1.64%</t>
  </si>
  <si>
    <t>$4,877,738</t>
  </si>
  <si>
    <t>$215,789</t>
  </si>
  <si>
    <t>12.65M</t>
  </si>
  <si>
    <t>CateCoin</t>
  </si>
  <si>
    <t>CATE</t>
  </si>
  <si>
    <t>$0.078514</t>
  </si>
  <si>
    <t>1.13%</t>
  </si>
  <si>
    <t>$4,876,749</t>
  </si>
  <si>
    <t>$375,201</t>
  </si>
  <si>
    <t>57.27T</t>
  </si>
  <si>
    <t>Moby</t>
  </si>
  <si>
    <t>MOBY</t>
  </si>
  <si>
    <t>$0.004872</t>
  </si>
  <si>
    <t>$4,872,450</t>
  </si>
  <si>
    <t>$1,280,155</t>
  </si>
  <si>
    <t>Particl</t>
  </si>
  <si>
    <t>PART</t>
  </si>
  <si>
    <t>$0.3138</t>
  </si>
  <si>
    <t>0.62%</t>
  </si>
  <si>
    <t>$4,852,783</t>
  </si>
  <si>
    <t>$100,481</t>
  </si>
  <si>
    <t>15.45M</t>
  </si>
  <si>
    <t>Custodiy</t>
  </si>
  <si>
    <t>CTY</t>
  </si>
  <si>
    <t>$9.76</t>
  </si>
  <si>
    <t>1.11%</t>
  </si>
  <si>
    <t>$4,850,979</t>
  </si>
  <si>
    <t>$402,549</t>
  </si>
  <si>
    <t>496.54K</t>
  </si>
  <si>
    <t>Trusta.AI</t>
  </si>
  <si>
    <t>TA</t>
  </si>
  <si>
    <t>$0.02134</t>
  </si>
  <si>
    <t>$4,842,635</t>
  </si>
  <si>
    <t>$2,328,961</t>
  </si>
  <si>
    <t>226.87M</t>
  </si>
  <si>
    <t>XSwap</t>
  </si>
  <si>
    <t>XSWAP</t>
  </si>
  <si>
    <t>$0.01621</t>
  </si>
  <si>
    <t>0.38%</t>
  </si>
  <si>
    <t>$4,836,273</t>
  </si>
  <si>
    <t>$121,289</t>
  </si>
  <si>
    <t>298.25M</t>
  </si>
  <si>
    <t>Metahero</t>
  </si>
  <si>
    <t>HERO</t>
  </si>
  <si>
    <t>$0.0008043</t>
  </si>
  <si>
    <t>$4,098,858</t>
  </si>
  <si>
    <t>$51,766</t>
  </si>
  <si>
    <t>5.09B</t>
  </si>
  <si>
    <t>Portugal National Team Fan Token</t>
  </si>
  <si>
    <t>POR</t>
  </si>
  <si>
    <t>$0.4741</t>
  </si>
  <si>
    <t>1.24%</t>
  </si>
  <si>
    <t>$4,092,301</t>
  </si>
  <si>
    <t>$498,045</t>
  </si>
  <si>
    <t>8.62M</t>
  </si>
  <si>
    <t>AstraAI</t>
  </si>
  <si>
    <t>ASTRA</t>
  </si>
  <si>
    <t>$0.4071</t>
  </si>
  <si>
    <t>$4,071,360</t>
  </si>
  <si>
    <t>$58,006</t>
  </si>
  <si>
    <t>9.99M</t>
  </si>
  <si>
    <t>Worldwide USD</t>
  </si>
  <si>
    <t>WUSD</t>
  </si>
  <si>
    <t>$4,059,423</t>
  </si>
  <si>
    <t>$993,206</t>
  </si>
  <si>
    <t>4.05M</t>
  </si>
  <si>
    <t>Ultra</t>
  </si>
  <si>
    <t>UOS</t>
  </si>
  <si>
    <t>$4,056,290</t>
  </si>
  <si>
    <t>$452,151</t>
  </si>
  <si>
    <t>479.62M</t>
  </si>
  <si>
    <t>Mysterium</t>
  </si>
  <si>
    <t>MYST</t>
  </si>
  <si>
    <t>$0.2018</t>
  </si>
  <si>
    <t>1.71%</t>
  </si>
  <si>
    <t>$4,044,070</t>
  </si>
  <si>
    <t>$86,399</t>
  </si>
  <si>
    <t>20.03M</t>
  </si>
  <si>
    <t>Mayflower AI</t>
  </si>
  <si>
    <t>MAY</t>
  </si>
  <si>
    <t>$0.01206</t>
  </si>
  <si>
    <t>0.82%</t>
  </si>
  <si>
    <t>$4,032,882</t>
  </si>
  <si>
    <t>$2,124,270</t>
  </si>
  <si>
    <t>334.17M</t>
  </si>
  <si>
    <t>HOSKY Token</t>
  </si>
  <si>
    <t>HOSKY</t>
  </si>
  <si>
    <t>$0.071765</t>
  </si>
  <si>
    <t>$4,025,739</t>
  </si>
  <si>
    <t>$299,678</t>
  </si>
  <si>
    <t>227.99T</t>
  </si>
  <si>
    <t>BlackFort Exchange Network</t>
  </si>
  <si>
    <t>BXN</t>
  </si>
  <si>
    <t>$0.0008939</t>
  </si>
  <si>
    <t>$4,013,522</t>
  </si>
  <si>
    <t>$412,636</t>
  </si>
  <si>
    <t>4.48B</t>
  </si>
  <si>
    <t>PussFi</t>
  </si>
  <si>
    <t>PUSS</t>
  </si>
  <si>
    <t>$0.004554</t>
  </si>
  <si>
    <t>$4,002,278</t>
  </si>
  <si>
    <t>$1,088,864</t>
  </si>
  <si>
    <t>878.82M</t>
  </si>
  <si>
    <t>KaiChain</t>
  </si>
  <si>
    <t>KAI</t>
  </si>
  <si>
    <t>$0.0008380</t>
  </si>
  <si>
    <t>$4,001,721</t>
  </si>
  <si>
    <t>$8,904</t>
  </si>
  <si>
    <t>4.77B</t>
  </si>
  <si>
    <t>AXEL</t>
  </si>
  <si>
    <t>$0.01411</t>
  </si>
  <si>
    <t>$3,995,184</t>
  </si>
  <si>
    <t>283.1M</t>
  </si>
  <si>
    <t>DaGama World</t>
  </si>
  <si>
    <t>DGMA</t>
  </si>
  <si>
    <t>$0.06513</t>
  </si>
  <si>
    <t>$3,991,078</t>
  </si>
  <si>
    <t>$1,801,552</t>
  </si>
  <si>
    <t>61.27M</t>
  </si>
  <si>
    <t>Gochujangcoin</t>
  </si>
  <si>
    <t>GOCHU</t>
  </si>
  <si>
    <t>$0.063567</t>
  </si>
  <si>
    <t>$3,988,311</t>
  </si>
  <si>
    <t>$154,139</t>
  </si>
  <si>
    <t>11.17T</t>
  </si>
  <si>
    <t>VNX Gold</t>
  </si>
  <si>
    <t>VNXAU</t>
  </si>
  <si>
    <t>$136.32</t>
  </si>
  <si>
    <t>$3,967,175</t>
  </si>
  <si>
    <t>$65,166</t>
  </si>
  <si>
    <t>29.1K</t>
  </si>
  <si>
    <t>Roaring Kitty</t>
  </si>
  <si>
    <t>ROAR</t>
  </si>
  <si>
    <t>$0.003190</t>
  </si>
  <si>
    <t>$3,190,030</t>
  </si>
  <si>
    <t>$129,109</t>
  </si>
  <si>
    <t>BitShares</t>
  </si>
  <si>
    <t>BTS</t>
  </si>
  <si>
    <t>$0.001064</t>
  </si>
  <si>
    <t>$3,187,133</t>
  </si>
  <si>
    <t>$82,112</t>
  </si>
  <si>
    <t>2.99B</t>
  </si>
  <si>
    <t>Renta Network</t>
  </si>
  <si>
    <t>RENTA</t>
  </si>
  <si>
    <t>$0.006376</t>
  </si>
  <si>
    <t>$3,186,414</t>
  </si>
  <si>
    <t>$222,576</t>
  </si>
  <si>
    <t>499.71M</t>
  </si>
  <si>
    <t>Department Of Government Efficiency (dogegov.com)</t>
  </si>
  <si>
    <t>$0.003252</t>
  </si>
  <si>
    <t>$3,184,110</t>
  </si>
  <si>
    <t>$1,041,133</t>
  </si>
  <si>
    <t>979.12M</t>
  </si>
  <si>
    <t>STAT</t>
  </si>
  <si>
    <t>$0.03918</t>
  </si>
  <si>
    <t>0.63%</t>
  </si>
  <si>
    <t>$3,170,980</t>
  </si>
  <si>
    <t>$364,959</t>
  </si>
  <si>
    <t>80.91M</t>
  </si>
  <si>
    <t>Artrade</t>
  </si>
  <si>
    <t>ATR</t>
  </si>
  <si>
    <t>$0.002515</t>
  </si>
  <si>
    <t>$3,169,190</t>
  </si>
  <si>
    <t>$333,463</t>
  </si>
  <si>
    <t>1.26B</t>
  </si>
  <si>
    <t>Wise Monkey</t>
  </si>
  <si>
    <t>MONKY</t>
  </si>
  <si>
    <t>$0.063727</t>
  </si>
  <si>
    <t>$3,168,439</t>
  </si>
  <si>
    <t>$189,452</t>
  </si>
  <si>
    <t>8.5T</t>
  </si>
  <si>
    <t>Cellframe</t>
  </si>
  <si>
    <t>CELL</t>
  </si>
  <si>
    <t>$0.1105</t>
  </si>
  <si>
    <t>3.00%</t>
  </si>
  <si>
    <t>$3,161,989</t>
  </si>
  <si>
    <t>$619,781</t>
  </si>
  <si>
    <t>28.59M</t>
  </si>
  <si>
    <t>Omnity Convertible Token</t>
  </si>
  <si>
    <t>OCT</t>
  </si>
  <si>
    <t>$0.03161</t>
  </si>
  <si>
    <t>$3,161,988</t>
  </si>
  <si>
    <t>$70,474</t>
  </si>
  <si>
    <t>RHEA Finance</t>
  </si>
  <si>
    <t>RHEA</t>
  </si>
  <si>
    <t>$0.01572</t>
  </si>
  <si>
    <t>$3,145,553</t>
  </si>
  <si>
    <t>$3,337,405</t>
  </si>
  <si>
    <t>200M</t>
  </si>
  <si>
    <t>Grok</t>
  </si>
  <si>
    <t>GROK</t>
  </si>
  <si>
    <t>$0.0004975</t>
  </si>
  <si>
    <t>$3,144,141</t>
  </si>
  <si>
    <t>$322,501</t>
  </si>
  <si>
    <t>6.31B</t>
  </si>
  <si>
    <t>TEMCO</t>
  </si>
  <si>
    <t>$0.0007894</t>
  </si>
  <si>
    <t>2.51%</t>
  </si>
  <si>
    <t>$3,136,583</t>
  </si>
  <si>
    <t>$211,641</t>
  </si>
  <si>
    <t>3.97B</t>
  </si>
  <si>
    <t>U</t>
  </si>
  <si>
    <t>$0.003149</t>
  </si>
  <si>
    <t>$3,128,134</t>
  </si>
  <si>
    <t>$29,337</t>
  </si>
  <si>
    <t>993.34M</t>
  </si>
  <si>
    <t>Botto</t>
  </si>
  <si>
    <t>BOTTO</t>
  </si>
  <si>
    <t>$0.06382</t>
  </si>
  <si>
    <t>0.22%</t>
  </si>
  <si>
    <t>$3,113,946</t>
  </si>
  <si>
    <t>$63,368</t>
  </si>
  <si>
    <t>48.79M</t>
  </si>
  <si>
    <t>Guild of Guardians</t>
  </si>
  <si>
    <t>GOG</t>
  </si>
  <si>
    <t>$0.003800</t>
  </si>
  <si>
    <t>$3,112,337</t>
  </si>
  <si>
    <t>$46,064</t>
  </si>
  <si>
    <t>818.88M</t>
  </si>
  <si>
    <t>Rejuve.AI</t>
  </si>
  <si>
    <t>RJV</t>
  </si>
  <si>
    <t>$0.003412</t>
  </si>
  <si>
    <t>$2,624,600</t>
  </si>
  <si>
    <t>$272,948</t>
  </si>
  <si>
    <t>769.06M</t>
  </si>
  <si>
    <t>Procter &amp; Gamble Tokenized Stock (Ondo)</t>
  </si>
  <si>
    <t>PGon</t>
  </si>
  <si>
    <t>$145.96</t>
  </si>
  <si>
    <t>$2,618,272</t>
  </si>
  <si>
    <t>$32,169</t>
  </si>
  <si>
    <t>17.93K</t>
  </si>
  <si>
    <t>Coupon Assets</t>
  </si>
  <si>
    <t>CA</t>
  </si>
  <si>
    <t>$0.2705</t>
  </si>
  <si>
    <t>0.42%</t>
  </si>
  <si>
    <t>$2,616,371</t>
  </si>
  <si>
    <t>$548,295</t>
  </si>
  <si>
    <t>9.67M</t>
  </si>
  <si>
    <t>Ref Finance</t>
  </si>
  <si>
    <t>REF</t>
  </si>
  <si>
    <t>$0.05732</t>
  </si>
  <si>
    <t>$2,608,856</t>
  </si>
  <si>
    <t>45.51M</t>
  </si>
  <si>
    <t>ZClassic</t>
  </si>
  <si>
    <t>ZCL</t>
  </si>
  <si>
    <t>$0.2798</t>
  </si>
  <si>
    <t>$2,599,223</t>
  </si>
  <si>
    <t>$111</t>
  </si>
  <si>
    <t>9.28M</t>
  </si>
  <si>
    <t>bitsCrunch</t>
  </si>
  <si>
    <t>BCUT</t>
  </si>
  <si>
    <t>$0.004305</t>
  </si>
  <si>
    <t>$2,599,402</t>
  </si>
  <si>
    <t>$292,160</t>
  </si>
  <si>
    <t>603.77M</t>
  </si>
  <si>
    <t>U2U Network</t>
  </si>
  <si>
    <t>U2U</t>
  </si>
  <si>
    <t>$0.001702</t>
  </si>
  <si>
    <t>0.77%</t>
  </si>
  <si>
    <t>$2,598,336</t>
  </si>
  <si>
    <t>$419,073</t>
  </si>
  <si>
    <t>1.52B</t>
  </si>
  <si>
    <t>TokenFi</t>
  </si>
  <si>
    <t>TOKEN</t>
  </si>
  <si>
    <t>$0.002593</t>
  </si>
  <si>
    <t>$2,593,788</t>
  </si>
  <si>
    <t>$1,931,857</t>
  </si>
  <si>
    <t>Microsoft Tokenized Stock (Ondo)</t>
  </si>
  <si>
    <t>MSFTon</t>
  </si>
  <si>
    <t>$486.67</t>
  </si>
  <si>
    <t>$2,593,163</t>
  </si>
  <si>
    <t>$220,815</t>
  </si>
  <si>
    <t>5.32K</t>
  </si>
  <si>
    <t>Unizen</t>
  </si>
  <si>
    <t>ZCX</t>
  </si>
  <si>
    <t>$0.003981</t>
  </si>
  <si>
    <t>$2,591,059</t>
  </si>
  <si>
    <t>$120,482</t>
  </si>
  <si>
    <t>650.81M</t>
  </si>
  <si>
    <t>Giggle Panda</t>
  </si>
  <si>
    <t>GIGL</t>
  </si>
  <si>
    <t>$0.002572</t>
  </si>
  <si>
    <t>$2,572,928</t>
  </si>
  <si>
    <t>$223,938</t>
  </si>
  <si>
    <t>999.99M</t>
  </si>
  <si>
    <t>Cere Network</t>
  </si>
  <si>
    <t>CERE</t>
  </si>
  <si>
    <t>$0.0003705</t>
  </si>
  <si>
    <t>$2,571,470</t>
  </si>
  <si>
    <t>$77,851</t>
  </si>
  <si>
    <t>6.93B</t>
  </si>
  <si>
    <t>Billy (Bitcoin)</t>
  </si>
  <si>
    <t>BILLY</t>
  </si>
  <si>
    <t>$0.002569</t>
  </si>
  <si>
    <t>$2,569,001</t>
  </si>
  <si>
    <t>$3,446</t>
  </si>
  <si>
    <t>Harold</t>
  </si>
  <si>
    <t>HAROLD</t>
  </si>
  <si>
    <t>$0.003262</t>
  </si>
  <si>
    <t>$2,567,987</t>
  </si>
  <si>
    <t>$25,953</t>
  </si>
  <si>
    <t>787M</t>
  </si>
  <si>
    <t>Cortex</t>
  </si>
  <si>
    <t>CTXC</t>
  </si>
  <si>
    <t>$0.01089</t>
  </si>
  <si>
    <t>7.94%</t>
  </si>
  <si>
    <t>$2,557,395</t>
  </si>
  <si>
    <t>$1,031,311</t>
  </si>
  <si>
    <t>234.81M</t>
  </si>
  <si>
    <t>LATOKEN</t>
  </si>
  <si>
    <t>LA</t>
  </si>
  <si>
    <t>$0.005438</t>
  </si>
  <si>
    <t>$2,067,068</t>
  </si>
  <si>
    <t>$68</t>
  </si>
  <si>
    <t>380.1M</t>
  </si>
  <si>
    <t>Aerobud</t>
  </si>
  <si>
    <t>AEROBUD</t>
  </si>
  <si>
    <t>$0.002125</t>
  </si>
  <si>
    <t>$2,061,941</t>
  </si>
  <si>
    <t>$202,808</t>
  </si>
  <si>
    <t>970M</t>
  </si>
  <si>
    <t>Pandu Pandas</t>
  </si>
  <si>
    <t>PANDU</t>
  </si>
  <si>
    <t>$0.00002139</t>
  </si>
  <si>
    <t>2.16%</t>
  </si>
  <si>
    <t>$2,061,716</t>
  </si>
  <si>
    <t>$1,112,131</t>
  </si>
  <si>
    <t>96.37B</t>
  </si>
  <si>
    <t>Cream Finance</t>
  </si>
  <si>
    <t>CREAM</t>
  </si>
  <si>
    <t>$1.10</t>
  </si>
  <si>
    <t>$2,058,697</t>
  </si>
  <si>
    <t>$47,788</t>
  </si>
  <si>
    <t>1.85M</t>
  </si>
  <si>
    <t>Micron Technology Tokenized Stock (Ondo)</t>
  </si>
  <si>
    <t>MUon</t>
  </si>
  <si>
    <t>$269.86</t>
  </si>
  <si>
    <t>$2,058,129</t>
  </si>
  <si>
    <t>$213,139</t>
  </si>
  <si>
    <t>7.62K</t>
  </si>
  <si>
    <t>Trabzonspor Fan Token</t>
  </si>
  <si>
    <t>TRA</t>
  </si>
  <si>
    <t>$0.2677</t>
  </si>
  <si>
    <t>1.37%</t>
  </si>
  <si>
    <t>$2,052,913</t>
  </si>
  <si>
    <t>$412,964</t>
  </si>
  <si>
    <t>7.66M</t>
  </si>
  <si>
    <t>DOYR</t>
  </si>
  <si>
    <t>$0.002051</t>
  </si>
  <si>
    <t>2.41%</t>
  </si>
  <si>
    <t>$2,051,634</t>
  </si>
  <si>
    <t>$3,927,486</t>
  </si>
  <si>
    <t>Step App</t>
  </si>
  <si>
    <t>FITFI</t>
  </si>
  <si>
    <t>$0.0004701</t>
  </si>
  <si>
    <t>$2,039,455</t>
  </si>
  <si>
    <t>$1,877,811</t>
  </si>
  <si>
    <t>4.33B</t>
  </si>
  <si>
    <t>Tottenham Hotspur Fan Token</t>
  </si>
  <si>
    <t>SPURS</t>
  </si>
  <si>
    <t>$0.1804</t>
  </si>
  <si>
    <t>$2,037,382</t>
  </si>
  <si>
    <t>$175,018</t>
  </si>
  <si>
    <t>11.28M</t>
  </si>
  <si>
    <t>Jerry The Turtle By Matt Furie</t>
  </si>
  <si>
    <t>JYAI</t>
  </si>
  <si>
    <t>$0.00002940</t>
  </si>
  <si>
    <t>$2,029,259</t>
  </si>
  <si>
    <t>$2,841,232</t>
  </si>
  <si>
    <t>69B</t>
  </si>
  <si>
    <t>DFI.Money</t>
  </si>
  <si>
    <t>YFII</t>
  </si>
  <si>
    <t>$52.74</t>
  </si>
  <si>
    <t>1.33%</t>
  </si>
  <si>
    <t>$2,035,580</t>
  </si>
  <si>
    <t>$117,506</t>
  </si>
  <si>
    <t>38.59K</t>
  </si>
  <si>
    <t>Pepe 2.0 (pepe20.vip)</t>
  </si>
  <si>
    <t>PEPE2.0</t>
  </si>
  <si>
    <t>$0.084327</t>
  </si>
  <si>
    <t>$2,029,473</t>
  </si>
  <si>
    <t>$73,652</t>
  </si>
  <si>
    <t>469T</t>
  </si>
  <si>
    <t>Rizzmas</t>
  </si>
  <si>
    <t>RIZZMAS</t>
  </si>
  <si>
    <t>$0.054059</t>
  </si>
  <si>
    <t>3.58%</t>
  </si>
  <si>
    <t>$2,018,735</t>
  </si>
  <si>
    <t>$6,071,099</t>
  </si>
  <si>
    <t>497.31B</t>
  </si>
  <si>
    <t>Samoyedcoin</t>
  </si>
  <si>
    <t>SAMO</t>
  </si>
  <si>
    <t>$0.0005507</t>
  </si>
  <si>
    <t>$2,014,166</t>
  </si>
  <si>
    <t>$119,479</t>
  </si>
  <si>
    <t>3.65B</t>
  </si>
  <si>
    <t>ShibaDoge</t>
  </si>
  <si>
    <t>SHIBDOGE</t>
  </si>
  <si>
    <t>$0.0161604</t>
  </si>
  <si>
    <t>$1,998,825</t>
  </si>
  <si>
    <t>$75</t>
  </si>
  <si>
    <t>124,602.47E</t>
  </si>
  <si>
    <t>v.systems</t>
  </si>
  <si>
    <t>VSYS</t>
  </si>
  <si>
    <t>$0.0004681</t>
  </si>
  <si>
    <t>$1,673,937</t>
  </si>
  <si>
    <t>$875,639</t>
  </si>
  <si>
    <t>3.57B</t>
  </si>
  <si>
    <t>mStable Governance Token: Meta (MTA)</t>
  </si>
  <si>
    <t>MTA</t>
  </si>
  <si>
    <t>$0.03013</t>
  </si>
  <si>
    <t>$1,670,143</t>
  </si>
  <si>
    <t>$8</t>
  </si>
  <si>
    <t>55.41M</t>
  </si>
  <si>
    <t>Presearch</t>
  </si>
  <si>
    <t>PRE</t>
  </si>
  <si>
    <t>$0.004182</t>
  </si>
  <si>
    <t>$1,658,808</t>
  </si>
  <si>
    <t>$3,960</t>
  </si>
  <si>
    <t>396.57M</t>
  </si>
  <si>
    <t>Port3 Network</t>
  </si>
  <si>
    <t>PORT3</t>
  </si>
  <si>
    <t>$0.002393</t>
  </si>
  <si>
    <t>2.91%</t>
  </si>
  <si>
    <t>$1,658,112</t>
  </si>
  <si>
    <t>$2,395,488</t>
  </si>
  <si>
    <t>692.89M</t>
  </si>
  <si>
    <t>Project WITH</t>
  </si>
  <si>
    <t>WIKEN</t>
  </si>
  <si>
    <t>$0.001572</t>
  </si>
  <si>
    <t>$1,656,286</t>
  </si>
  <si>
    <t>$60,239</t>
  </si>
  <si>
    <t>1.05B</t>
  </si>
  <si>
    <t>RWA Inc.</t>
  </si>
  <si>
    <t>RWAINC</t>
  </si>
  <si>
    <t>$0.003364</t>
  </si>
  <si>
    <t>$1,653,777</t>
  </si>
  <si>
    <t>$264,639</t>
  </si>
  <si>
    <t>491.56M</t>
  </si>
  <si>
    <t>Orbit Chain</t>
  </si>
  <si>
    <t>ORC</t>
  </si>
  <si>
    <t>$0.002407</t>
  </si>
  <si>
    <t>$1,649,491</t>
  </si>
  <si>
    <t>685.09M</t>
  </si>
  <si>
    <t>AgriDex</t>
  </si>
  <si>
    <t>AGRI</t>
  </si>
  <si>
    <t>$0.005801</t>
  </si>
  <si>
    <t>$1,647,748</t>
  </si>
  <si>
    <t>$119,611</t>
  </si>
  <si>
    <t>284M</t>
  </si>
  <si>
    <t>Anome</t>
  </si>
  <si>
    <t>ANOME</t>
  </si>
  <si>
    <t>$0.05486</t>
  </si>
  <si>
    <t>$1,646,017</t>
  </si>
  <si>
    <t>$1,632,086</t>
  </si>
  <si>
    <t>30M</t>
  </si>
  <si>
    <t>VIDT DAO</t>
  </si>
  <si>
    <t>VIDT</t>
  </si>
  <si>
    <t>$0.001885</t>
  </si>
  <si>
    <t>$1,640,224</t>
  </si>
  <si>
    <t>$121,545</t>
  </si>
  <si>
    <t>869.79M</t>
  </si>
  <si>
    <t>Radiant</t>
  </si>
  <si>
    <t>RXD</t>
  </si>
  <si>
    <t>$0.0001269</t>
  </si>
  <si>
    <t>$1,637,470</t>
  </si>
  <si>
    <t>$172,807</t>
  </si>
  <si>
    <t>12.89B</t>
  </si>
  <si>
    <t>Donkey (DONKEY_BSC_MEME)</t>
  </si>
  <si>
    <t>DONKEY</t>
  </si>
  <si>
    <t>$0.001630</t>
  </si>
  <si>
    <t>0.51%</t>
  </si>
  <si>
    <t>$1,630,840</t>
  </si>
  <si>
    <t>$2,095,797</t>
  </si>
  <si>
    <t>Taraxa</t>
  </si>
  <si>
    <t>TARA</t>
  </si>
  <si>
    <t>$0.0002747</t>
  </si>
  <si>
    <t>2.30%</t>
  </si>
  <si>
    <t>$1,630,658</t>
  </si>
  <si>
    <t>$202,903</t>
  </si>
  <si>
    <t>5.93B</t>
  </si>
  <si>
    <t>Kyuzo's Friends</t>
  </si>
  <si>
    <t>KO</t>
  </si>
  <si>
    <t>$0.007490</t>
  </si>
  <si>
    <t>2.08%</t>
  </si>
  <si>
    <t>$1,629,272</t>
  </si>
  <si>
    <t>$6,640,266</t>
  </si>
  <si>
    <t>217.5M</t>
  </si>
  <si>
    <t>Minati Coin</t>
  </si>
  <si>
    <t>MNTC</t>
  </si>
  <si>
    <t>$0.2585</t>
  </si>
  <si>
    <t>$1,622,431</t>
  </si>
  <si>
    <t>$148,384</t>
  </si>
  <si>
    <t>6.27M</t>
  </si>
  <si>
    <t>Brett (ETH)</t>
  </si>
  <si>
    <t>BRETT</t>
  </si>
  <si>
    <t>$0.01966</t>
  </si>
  <si>
    <t>0.37%</t>
  </si>
  <si>
    <t>$1,364,927</t>
  </si>
  <si>
    <t>$498,471</t>
  </si>
  <si>
    <t>69.42M</t>
  </si>
  <si>
    <t>Linde plc Tokenized Stock (Ondo)</t>
  </si>
  <si>
    <t>LINon</t>
  </si>
  <si>
    <t>$420.34</t>
  </si>
  <si>
    <t>$1,361,560</t>
  </si>
  <si>
    <t>3.23K</t>
  </si>
  <si>
    <t>yesnoerror</t>
  </si>
  <si>
    <t>YNE</t>
  </si>
  <si>
    <t>$0.001360</t>
  </si>
  <si>
    <t>$1,360,623</t>
  </si>
  <si>
    <t>$325,530</t>
  </si>
  <si>
    <t>BytomDAO</t>
  </si>
  <si>
    <t>BTM</t>
  </si>
  <si>
    <t>$0.0008761</t>
  </si>
  <si>
    <t>$1,358,212</t>
  </si>
  <si>
    <t>1.55B</t>
  </si>
  <si>
    <t>LogX Network</t>
  </si>
  <si>
    <t>LOGX</t>
  </si>
  <si>
    <t>$0.002478</t>
  </si>
  <si>
    <t>$1,356,556</t>
  </si>
  <si>
    <t>$69,221</t>
  </si>
  <si>
    <t>547.33M</t>
  </si>
  <si>
    <t>Riser</t>
  </si>
  <si>
    <t>RIS</t>
  </si>
  <si>
    <t>$0.005396</t>
  </si>
  <si>
    <t>$1,349,188</t>
  </si>
  <si>
    <t>$115,146</t>
  </si>
  <si>
    <t>250M</t>
  </si>
  <si>
    <t>VICE Token</t>
  </si>
  <si>
    <t>VICE</t>
  </si>
  <si>
    <t>$0.001354</t>
  </si>
  <si>
    <t>$1,347,893</t>
  </si>
  <si>
    <t>$11,534</t>
  </si>
  <si>
    <t>995.21M</t>
  </si>
  <si>
    <t>Young Peezy AKA Pepe</t>
  </si>
  <si>
    <t>PEEZY</t>
  </si>
  <si>
    <t>$0.001347</t>
  </si>
  <si>
    <t>$1,347,859</t>
  </si>
  <si>
    <t>$3</t>
  </si>
  <si>
    <t>JMPT Rewards</t>
  </si>
  <si>
    <t>JMPT</t>
  </si>
  <si>
    <t>$0.7108</t>
  </si>
  <si>
    <t>$1,346,379</t>
  </si>
  <si>
    <t>$8,743</t>
  </si>
  <si>
    <t>1.89M</t>
  </si>
  <si>
    <t>SwarmNode.ai</t>
  </si>
  <si>
    <t>SNAI</t>
  </si>
  <si>
    <t>$0.001344</t>
  </si>
  <si>
    <t>$1,343,123</t>
  </si>
  <si>
    <t>$528,180</t>
  </si>
  <si>
    <t>998.93M</t>
  </si>
  <si>
    <t>Serum</t>
  </si>
  <si>
    <t>SRM</t>
  </si>
  <si>
    <t>$0.005090</t>
  </si>
  <si>
    <t>$1,340,163</t>
  </si>
  <si>
    <t>$94,589</t>
  </si>
  <si>
    <t>263.24M</t>
  </si>
  <si>
    <t>Amber tokenized stock (xStock)</t>
  </si>
  <si>
    <t>AMBRX</t>
  </si>
  <si>
    <t>$1.78</t>
  </si>
  <si>
    <t>$1,335,229</t>
  </si>
  <si>
    <t>$14</t>
  </si>
  <si>
    <t>745.99K</t>
  </si>
  <si>
    <t>StupidCoin</t>
  </si>
  <si>
    <t>STUPID</t>
  </si>
  <si>
    <t>$0.001340</t>
  </si>
  <si>
    <t>$1,333,124</t>
  </si>
  <si>
    <t>$876,529</t>
  </si>
  <si>
    <t>994.84M</t>
  </si>
  <si>
    <t>SuperTrust</t>
  </si>
  <si>
    <t>SUT</t>
  </si>
  <si>
    <t>$0.6569</t>
  </si>
  <si>
    <t>$1,330,087</t>
  </si>
  <si>
    <t>$3,526,156</t>
  </si>
  <si>
    <t>2.02M</t>
  </si>
  <si>
    <t>Fusion</t>
  </si>
  <si>
    <t>FSN</t>
  </si>
  <si>
    <t>$0.01699</t>
  </si>
  <si>
    <t>$1,329,457</t>
  </si>
  <si>
    <t>$5,527</t>
  </si>
  <si>
    <t>78.23M</t>
  </si>
  <si>
    <t>previous 1H price</t>
  </si>
  <si>
    <t>price_range</t>
  </si>
  <si>
    <t>price_change</t>
  </si>
  <si>
    <t>Row Labels</t>
  </si>
  <si>
    <t>Grand Total</t>
  </si>
  <si>
    <t>Sum of Price (USD)</t>
  </si>
  <si>
    <t>Sum of previous 1H price</t>
  </si>
  <si>
    <t>Sum of price_change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</si>
</sst>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4" fontId="0" fillId="0" borderId="0" xfId="0" applyNumberFormat="1"/>
    <xf numFmtId="0" fontId="2"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2" borderId="0" xfId="0" applyFill="1"/>
    <xf numFmtId="0" fontId="0" fillId="0" borderId="0" xfId="0" applyNumberFormat="1"/>
  </cellXfs>
  <cellStyles count="1">
    <cellStyle name="Normal" xfId="0" builtinId="0"/>
  </cellStyles>
  <dxfs count="9">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CCFFCC"/>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[Crypto_Analysis_question 3.xlsx]charted!PivotTable1</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charted!$B$3</c:f>
              <c:strCache>
                <c:ptCount val="1"/>
                <c:pt idx="0">
                  <c:v>Sum of Price (USD)</c:v>
                </c:pt>
              </c:strCache>
            </c:strRef>
          </c:tx>
          <c:spPr>
            <a:solidFill>
              <a:schemeClr val="accent1"/>
            </a:solidFill>
            <a:ln>
              <a:noFill/>
            </a:ln>
            <a:effectLst/>
          </c:spPr>
          <c:invertIfNegative val="0"/>
          <c:cat>
            <c:strRef>
              <c:f>charted!$A$4:$A$14</c:f>
              <c:strCache>
                <c:ptCount val="10"/>
                <c:pt idx="0">
                  <c:v>Bitcoin</c:v>
                </c:pt>
                <c:pt idx="1">
                  <c:v>Bitcoin Cash</c:v>
                </c:pt>
                <c:pt idx="2">
                  <c:v>BNB</c:v>
                </c:pt>
                <c:pt idx="3">
                  <c:v>DFI.Money</c:v>
                </c:pt>
                <c:pt idx="4">
                  <c:v>Ethereum</c:v>
                </c:pt>
                <c:pt idx="5">
                  <c:v>Matrixdock Gold</c:v>
                </c:pt>
                <c:pt idx="6">
                  <c:v>Monero</c:v>
                </c:pt>
                <c:pt idx="7">
                  <c:v>Ore</c:v>
                </c:pt>
                <c:pt idx="8">
                  <c:v>Solana</c:v>
                </c:pt>
                <c:pt idx="9">
                  <c:v>Tether Gold Tokens</c:v>
                </c:pt>
              </c:strCache>
            </c:strRef>
          </c:cat>
          <c:val>
            <c:numRef>
              <c:f>charted!$B$4:$B$14</c:f>
              <c:numCache>
                <c:formatCode>General</c:formatCode>
                <c:ptCount val="10"/>
                <c:pt idx="0">
                  <c:v>88617.76</c:v>
                </c:pt>
                <c:pt idx="1">
                  <c:v>586.88</c:v>
                </c:pt>
                <c:pt idx="2">
                  <c:v>855.25</c:v>
                </c:pt>
                <c:pt idx="3">
                  <c:v>52.74</c:v>
                </c:pt>
                <c:pt idx="4">
                  <c:v>2995.26</c:v>
                </c:pt>
                <c:pt idx="5">
                  <c:v>4356.1000000000004</c:v>
                </c:pt>
                <c:pt idx="6">
                  <c:v>469.29</c:v>
                </c:pt>
                <c:pt idx="7">
                  <c:v>65.61</c:v>
                </c:pt>
                <c:pt idx="8">
                  <c:v>125.68</c:v>
                </c:pt>
                <c:pt idx="9">
                  <c:v>4354.6000000000004</c:v>
                </c:pt>
              </c:numCache>
            </c:numRef>
          </c:val>
          <c:extLst>
            <c:ext xmlns:c16="http://schemas.microsoft.com/office/drawing/2014/chart" uri="{C3380CC4-5D6E-409C-BE32-E72D297353CC}">
              <c16:uniqueId val="{00000000-E38D-443E-91EB-A35E24498311}"/>
            </c:ext>
          </c:extLst>
        </c:ser>
        <c:ser>
          <c:idx val="1"/>
          <c:order val="1"/>
          <c:tx>
            <c:strRef>
              <c:f>charted!$C$3</c:f>
              <c:strCache>
                <c:ptCount val="1"/>
                <c:pt idx="0">
                  <c:v>Sum of previous 1H price</c:v>
                </c:pt>
              </c:strCache>
            </c:strRef>
          </c:tx>
          <c:spPr>
            <a:solidFill>
              <a:schemeClr val="accent2"/>
            </a:solidFill>
            <a:ln>
              <a:noFill/>
            </a:ln>
            <a:effectLst/>
          </c:spPr>
          <c:invertIfNegative val="0"/>
          <c:cat>
            <c:strRef>
              <c:f>charted!$A$4:$A$14</c:f>
              <c:strCache>
                <c:ptCount val="10"/>
                <c:pt idx="0">
                  <c:v>Bitcoin</c:v>
                </c:pt>
                <c:pt idx="1">
                  <c:v>Bitcoin Cash</c:v>
                </c:pt>
                <c:pt idx="2">
                  <c:v>BNB</c:v>
                </c:pt>
                <c:pt idx="3">
                  <c:v>DFI.Money</c:v>
                </c:pt>
                <c:pt idx="4">
                  <c:v>Ethereum</c:v>
                </c:pt>
                <c:pt idx="5">
                  <c:v>Matrixdock Gold</c:v>
                </c:pt>
                <c:pt idx="6">
                  <c:v>Monero</c:v>
                </c:pt>
                <c:pt idx="7">
                  <c:v>Ore</c:v>
                </c:pt>
                <c:pt idx="8">
                  <c:v>Solana</c:v>
                </c:pt>
                <c:pt idx="9">
                  <c:v>Tether Gold Tokens</c:v>
                </c:pt>
              </c:strCache>
            </c:strRef>
          </c:cat>
          <c:val>
            <c:numRef>
              <c:f>charted!$C$4:$C$14</c:f>
              <c:numCache>
                <c:formatCode>General</c:formatCode>
                <c:ptCount val="10"/>
                <c:pt idx="0">
                  <c:v>88396.768079800502</c:v>
                </c:pt>
                <c:pt idx="1">
                  <c:v>585.06629448708998</c:v>
                </c:pt>
                <c:pt idx="2">
                  <c:v>853.79854247778769</c:v>
                </c:pt>
                <c:pt idx="3">
                  <c:v>52.04776472910293</c:v>
                </c:pt>
                <c:pt idx="4">
                  <c:v>2988.9831354156272</c:v>
                </c:pt>
                <c:pt idx="5">
                  <c:v>4355.6644335566443</c:v>
                </c:pt>
                <c:pt idx="6">
                  <c:v>464.91975430949077</c:v>
                </c:pt>
                <c:pt idx="7">
                  <c:v>65.27059291683247</c:v>
                </c:pt>
                <c:pt idx="8">
                  <c:v>124.98011137629275</c:v>
                </c:pt>
                <c:pt idx="9">
                  <c:v>4337.68303615898</c:v>
                </c:pt>
              </c:numCache>
            </c:numRef>
          </c:val>
          <c:extLst>
            <c:ext xmlns:c16="http://schemas.microsoft.com/office/drawing/2014/chart" uri="{C3380CC4-5D6E-409C-BE32-E72D297353CC}">
              <c16:uniqueId val="{00000001-E38D-443E-91EB-A35E24498311}"/>
            </c:ext>
          </c:extLst>
        </c:ser>
        <c:ser>
          <c:idx val="2"/>
          <c:order val="2"/>
          <c:tx>
            <c:strRef>
              <c:f>charted!$D$3</c:f>
              <c:strCache>
                <c:ptCount val="1"/>
                <c:pt idx="0">
                  <c:v>Sum of price_change</c:v>
                </c:pt>
              </c:strCache>
            </c:strRef>
          </c:tx>
          <c:spPr>
            <a:solidFill>
              <a:schemeClr val="accent3"/>
            </a:solidFill>
            <a:ln>
              <a:noFill/>
            </a:ln>
            <a:effectLst/>
          </c:spPr>
          <c:invertIfNegative val="0"/>
          <c:cat>
            <c:strRef>
              <c:f>charted!$A$4:$A$14</c:f>
              <c:strCache>
                <c:ptCount val="10"/>
                <c:pt idx="0">
                  <c:v>Bitcoin</c:v>
                </c:pt>
                <c:pt idx="1">
                  <c:v>Bitcoin Cash</c:v>
                </c:pt>
                <c:pt idx="2">
                  <c:v>BNB</c:v>
                </c:pt>
                <c:pt idx="3">
                  <c:v>DFI.Money</c:v>
                </c:pt>
                <c:pt idx="4">
                  <c:v>Ethereum</c:v>
                </c:pt>
                <c:pt idx="5">
                  <c:v>Matrixdock Gold</c:v>
                </c:pt>
                <c:pt idx="6">
                  <c:v>Monero</c:v>
                </c:pt>
                <c:pt idx="7">
                  <c:v>Ore</c:v>
                </c:pt>
                <c:pt idx="8">
                  <c:v>Solana</c:v>
                </c:pt>
                <c:pt idx="9">
                  <c:v>Tether Gold Tokens</c:v>
                </c:pt>
              </c:strCache>
            </c:strRef>
          </c:cat>
          <c:val>
            <c:numRef>
              <c:f>charted!$D$4:$D$14</c:f>
              <c:numCache>
                <c:formatCode>General</c:formatCode>
                <c:ptCount val="10"/>
                <c:pt idx="0">
                  <c:v>220.9919201994926</c:v>
                </c:pt>
                <c:pt idx="1">
                  <c:v>1.813705512910019</c:v>
                </c:pt>
                <c:pt idx="2">
                  <c:v>1.4514575222123085</c:v>
                </c:pt>
                <c:pt idx="3">
                  <c:v>0.69223527089707204</c:v>
                </c:pt>
                <c:pt idx="4">
                  <c:v>6.2768645843730155</c:v>
                </c:pt>
                <c:pt idx="5">
                  <c:v>0.43556644335603778</c:v>
                </c:pt>
                <c:pt idx="6">
                  <c:v>4.3702456905092504</c:v>
                </c:pt>
                <c:pt idx="7">
                  <c:v>0.33940708316752932</c:v>
                </c:pt>
                <c:pt idx="8">
                  <c:v>0.69988862370725258</c:v>
                </c:pt>
                <c:pt idx="9">
                  <c:v>16.916963841020333</c:v>
                </c:pt>
              </c:numCache>
            </c:numRef>
          </c:val>
          <c:extLst>
            <c:ext xmlns:c16="http://schemas.microsoft.com/office/drawing/2014/chart" uri="{C3380CC4-5D6E-409C-BE32-E72D297353CC}">
              <c16:uniqueId val="{00000002-E38D-443E-91EB-A35E24498311}"/>
            </c:ext>
          </c:extLst>
        </c:ser>
        <c:dLbls>
          <c:showLegendKey val="0"/>
          <c:showVal val="0"/>
          <c:showCatName val="0"/>
          <c:showSerName val="0"/>
          <c:showPercent val="0"/>
          <c:showBubbleSize val="0"/>
        </c:dLbls>
        <c:gapWidth val="219"/>
        <c:overlap val="-27"/>
        <c:axId val="1683259072"/>
        <c:axId val="1683260992"/>
      </c:barChart>
      <c:catAx>
        <c:axId val="168325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260992"/>
        <c:crosses val="autoZero"/>
        <c:auto val="1"/>
        <c:lblAlgn val="ctr"/>
        <c:lblOffset val="100"/>
        <c:noMultiLvlLbl val="0"/>
      </c:catAx>
      <c:valAx>
        <c:axId val="1683260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25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228600">
        <a:schemeClr val="tx2">
          <a:lumMod val="60000"/>
          <a:lumOff val="40000"/>
          <a:alpha val="40000"/>
        </a:schemeClr>
      </a:glow>
      <a:outerShdw blurRad="50800" dist="38100" dir="16200000"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180203</xdr:colOff>
      <xdr:row>2</xdr:row>
      <xdr:rowOff>102973</xdr:rowOff>
    </xdr:from>
    <xdr:to>
      <xdr:col>11</xdr:col>
      <xdr:colOff>377567</xdr:colOff>
      <xdr:row>12</xdr:row>
      <xdr:rowOff>76542</xdr:rowOff>
    </xdr:to>
    <xdr:graphicFrame macro="">
      <xdr:nvGraphicFramePr>
        <xdr:cNvPr id="2" name="Chart 1">
          <a:extLst>
            <a:ext uri="{FF2B5EF4-FFF2-40B4-BE49-F238E27FC236}">
              <a16:creationId xmlns:a16="http://schemas.microsoft.com/office/drawing/2014/main" id="{52FD94CA-AAC0-379A-EBA9-AEAB3EBAEA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428024</xdr:colOff>
      <xdr:row>13</xdr:row>
      <xdr:rowOff>343</xdr:rowOff>
    </xdr:from>
    <xdr:to>
      <xdr:col>9</xdr:col>
      <xdr:colOff>429054</xdr:colOff>
      <xdr:row>17</xdr:row>
      <xdr:rowOff>171621</xdr:rowOff>
    </xdr:to>
    <mc:AlternateContent xmlns:mc="http://schemas.openxmlformats.org/markup-compatibility/2006" xmlns:a14="http://schemas.microsoft.com/office/drawing/2010/main">
      <mc:Choice Requires="a14">
        <xdr:graphicFrame macro="">
          <xdr:nvGraphicFramePr>
            <xdr:cNvPr id="3" name="price_range">
              <a:extLst>
                <a:ext uri="{FF2B5EF4-FFF2-40B4-BE49-F238E27FC236}">
                  <a16:creationId xmlns:a16="http://schemas.microsoft.com/office/drawing/2014/main" id="{D7FB7738-C89D-A71E-EFA1-89E9F7ACA0EE}"/>
                </a:ext>
              </a:extLst>
            </xdr:cNvPr>
            <xdr:cNvGraphicFramePr/>
          </xdr:nvGraphicFramePr>
          <xdr:xfrm>
            <a:off x="0" y="0"/>
            <a:ext cx="0" cy="0"/>
          </xdr:xfrm>
          <a:graphic>
            <a:graphicData uri="http://schemas.microsoft.com/office/drawing/2010/slicer">
              <sle:slicer xmlns:sle="http://schemas.microsoft.com/office/drawing/2010/slicer" name="price_range"/>
            </a:graphicData>
          </a:graphic>
        </xdr:graphicFrame>
      </mc:Choice>
      <mc:Fallback xmlns="">
        <xdr:sp macro="" textlink="">
          <xdr:nvSpPr>
            <xdr:cNvPr id="0" name=""/>
            <xdr:cNvSpPr>
              <a:spLocks noTextEdit="1"/>
            </xdr:cNvSpPr>
          </xdr:nvSpPr>
          <xdr:spPr>
            <a:xfrm>
              <a:off x="6254578" y="2342978"/>
              <a:ext cx="1828800" cy="8920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kila krishna B" refreshedDate="46015.587185300923" createdVersion="8" refreshedVersion="8" minRefreshableVersion="3" recordCount="300" xr:uid="{EA438B97-8A87-42C8-AAAA-6BF9CE58031E}">
  <cacheSource type="worksheet">
    <worksheetSource name="Table22"/>
  </cacheSource>
  <cacheFields count="10">
    <cacheField name="Coin Name" numFmtId="0">
      <sharedItems count="300">
        <s v="CoinMarketCap 20 Index DTF"/>
        <s v="Bitcoin"/>
        <s v="Ethereum"/>
        <s v="Tether"/>
        <s v="BNB"/>
        <s v="XRP"/>
        <s v="USDC"/>
        <s v="Solana"/>
        <s v="TRON"/>
        <s v="Dogecoin"/>
        <s v="Cardano"/>
        <s v="Bitcoin Cash"/>
        <s v="Chainlink"/>
        <s v="Monero"/>
        <s v="Hyperliquid"/>
        <s v="The Graph"/>
        <s v="JUST"/>
        <s v="BitTorrent [New]"/>
        <s v="FLOKI"/>
        <s v="Sun [New]"/>
        <s v="Chiliz"/>
        <s v="Maple Finance"/>
        <s v="DoubleZero"/>
        <s v="IOTA"/>
        <s v="Bitcoin SV"/>
        <s v="Kaia"/>
        <s v="Ethereum Name Service"/>
        <s v="Conflux"/>
        <s v="Trust Wallet Token"/>
        <s v="AINFT"/>
        <s v="Rain"/>
        <s v="Falcon USD"/>
        <s v="Jupiter Perps LP"/>
        <s v="Beldex"/>
        <s v="Ondo US Dollar Yield"/>
        <s v="Fasttoken"/>
        <s v="Usual USD"/>
        <s v="USDai"/>
        <s v="GHO"/>
        <s v="Legacy Frax Dollar"/>
        <s v="SwissBorg"/>
        <s v="Zeebu"/>
        <s v="Ape and Pepe"/>
        <s v="Loaded Lions"/>
        <s v="WeFi"/>
        <s v="Popcat (SOL)"/>
        <s v="MANTRA"/>
        <s v="Verge"/>
        <s v="River"/>
        <s v="XPR Network"/>
        <s v="Snek"/>
        <s v="Loopring"/>
        <s v="Non-Playable Coin"/>
        <s v="Oasis"/>
        <s v="Drift"/>
        <s v="EUR CoinVertible"/>
        <s v="cat in a dogs world"/>
        <s v="Rekt (rekt.com)"/>
        <s v="aelf"/>
        <s v="Alchemy Pay"/>
        <s v="Enjin Coin"/>
        <s v="Solayer"/>
        <s v="Harmony"/>
        <s v="Infrared"/>
        <s v="Tokenlon Network Token"/>
        <s v="WOO"/>
        <s v="Tellor"/>
        <s v="Matrixdock Gold"/>
        <s v="Doodles"/>
        <s v="BounceBit"/>
        <s v="VNDC"/>
        <s v="SMART"/>
        <s v="Plume"/>
        <s v="siren"/>
        <s v="peaq"/>
        <s v="OpenLedger"/>
        <s v="Derive"/>
        <s v="deBridge"/>
        <s v="Constellation"/>
        <s v="Act I : The AI Prophecy"/>
        <s v="HarryPotterObamaSonic10Inu (ERC-20)"/>
        <s v="Fractal Bitcoin"/>
        <s v="TerraClassicUSD"/>
        <s v="AgentLISA"/>
        <s v="Avici"/>
        <s v="Metis"/>
        <s v="Corn"/>
        <s v="Quack AI"/>
        <s v="Liquity"/>
        <s v="哈基米"/>
        <s v="Mango"/>
        <s v="Resolv"/>
        <s v="MetaArena"/>
        <s v="Adshares"/>
        <s v="Elastos"/>
        <s v="StrikeX"/>
        <s v="Chintai"/>
        <s v="Electronic USD"/>
        <s v="DORA"/>
        <s v="Mira"/>
        <s v="B3 (Base)"/>
        <s v="Ore"/>
        <s v="Orchid"/>
        <s v="MediBloc"/>
        <s v="saffron.finance"/>
        <s v="Vulcan Forged (PYR)"/>
        <s v="Ampleforth Governance Token"/>
        <s v="Naoris Protocol"/>
        <s v="Everlyn AI"/>
        <s v="Limitless"/>
        <s v="Maverick Protocol"/>
        <s v="Invesco QQQ Tokenized ETF (Ondo)"/>
        <s v="Roam"/>
        <s v="Chainbase"/>
        <s v="MAX Exchange Token"/>
        <s v="Puffer"/>
        <s v="Autonolas"/>
        <s v="Cetus Protocol"/>
        <s v="Bless"/>
        <s v="GaiAI"/>
        <s v="Xphere"/>
        <s v="Circle Internet Group Tokenized Stock (Ondo)"/>
        <s v="BugsCoin"/>
        <s v="ROGin AI"/>
        <s v="Ponke"/>
        <s v="Vanar Chain"/>
        <s v="Treehouse"/>
        <s v="Polyhedra Network"/>
        <s v="AS Roma Fan Token"/>
        <s v="Mythos"/>
        <s v="Neutron"/>
        <s v="Highstreet"/>
        <s v="Avail"/>
        <s v="PepeCoin"/>
        <s v="CREPE"/>
        <s v="Coq Inu"/>
        <s v="Alltoscan"/>
        <s v="Zeta"/>
        <s v="Wecan Group"/>
        <s v="XSGD"/>
        <s v="Splendor"/>
        <s v="Avalon Labs (AVL)"/>
        <s v="BFG Token"/>
        <s v="GYEN"/>
        <s v="Alien Worlds"/>
        <s v="Alphabet Class A Tokenized Stock (Ondo)"/>
        <s v="Infinity Ground"/>
        <s v="ColossusXT"/>
        <s v="Pikaboss"/>
        <s v="Agoras: Tau Net"/>
        <s v="PayAI Network"/>
        <s v="Tokemak"/>
        <s v="Diamond"/>
        <s v="World of Dypians"/>
        <s v="Heima"/>
        <s v="World3"/>
        <s v="SWEAT"/>
        <s v="Bella Protocol"/>
        <s v="AVA"/>
        <s v="Telos"/>
        <s v="SIX Token"/>
        <s v="Houdini Swap"/>
        <s v="iShares MSCI EAFE Tokenized ETF (Ondo)"/>
        <s v="Tether Gold Tokens"/>
        <s v="Keyboard Cat"/>
        <s v="DuckChain"/>
        <s v="Kryll"/>
        <s v="xU3O8"/>
        <s v="Stonks"/>
        <s v="HAiO"/>
        <s v="Brickken"/>
        <s v="QuickSwap [Old]"/>
        <s v="Cointel"/>
        <s v="Quantoz USDQ"/>
        <s v="Daddy Tate"/>
        <s v="0x0.ai"/>
        <s v="Equilibria Finance"/>
        <s v="Russell"/>
        <s v="Venus LINK"/>
        <s v="Fair and Free"/>
        <s v="Konnect"/>
        <s v="GOLDAO"/>
        <s v="WHY"/>
        <s v="Semantic Layer"/>
        <s v="Scallop"/>
        <s v="dHedge DAO"/>
        <s v="KAN"/>
        <s v="LC SHIB"/>
        <s v="DOWGE"/>
        <s v="Stake DAO"/>
        <s v="MemeFi"/>
        <s v="Aurory"/>
        <s v="Purple Bitcoin"/>
        <s v="Games for a Living"/>
        <s v="B-Lucky"/>
        <s v="AIVille Governance Token"/>
        <s v="Stella"/>
        <s v="Electra Protocol"/>
        <s v="Lingo"/>
        <s v="My Lovely Planet"/>
        <s v="Upland (SPARKLET)"/>
        <s v="Helium IOT"/>
        <s v="Broccoli (firstbroccoli.com)"/>
        <s v="WELF"/>
        <s v="CateCoin"/>
        <s v="Moby"/>
        <s v="Particl"/>
        <s v="Custodiy"/>
        <s v="Trusta.AI"/>
        <s v="XSwap"/>
        <s v="Metahero"/>
        <s v="Portugal National Team Fan Token"/>
        <s v="AstraAI"/>
        <s v="Worldwide USD"/>
        <s v="Ultra"/>
        <s v="Mysterium"/>
        <s v="Mayflower AI"/>
        <s v="HOSKY Token"/>
        <s v="BlackFort Exchange Network"/>
        <s v="PussFi"/>
        <s v="KaiChain"/>
        <s v="AXEL"/>
        <s v="DaGama World"/>
        <s v="Gochujangcoin"/>
        <s v="VNX Gold"/>
        <s v="Roaring Kitty"/>
        <s v="BitShares"/>
        <s v="Renta Network"/>
        <s v="Department Of Government Efficiency (dogegov.com)"/>
        <s v="STAT"/>
        <s v="Artrade"/>
        <s v="Wise Monkey"/>
        <s v="Cellframe"/>
        <s v="Omnity Convertible Token"/>
        <s v="RHEA Finance"/>
        <s v="Grok"/>
        <s v="TEMCO"/>
        <s v="U"/>
        <s v="Botto"/>
        <s v="Guild of Guardians"/>
        <s v="Rejuve.AI"/>
        <s v="Procter &amp; Gamble Tokenized Stock (Ondo)"/>
        <s v="Coupon Assets"/>
        <s v="Ref Finance"/>
        <s v="ZClassic"/>
        <s v="bitsCrunch"/>
        <s v="U2U Network"/>
        <s v="TokenFi"/>
        <s v="Microsoft Tokenized Stock (Ondo)"/>
        <s v="Unizen"/>
        <s v="Giggle Panda"/>
        <s v="Cere Network"/>
        <s v="Billy (Bitcoin)"/>
        <s v="Harold"/>
        <s v="Cortex"/>
        <s v="LATOKEN"/>
        <s v="Aerobud"/>
        <s v="Pandu Pandas"/>
        <s v="Cream Finance"/>
        <s v="Micron Technology Tokenized Stock (Ondo)"/>
        <s v="Trabzonspor Fan Token"/>
        <s v="DOYR"/>
        <s v="Step App"/>
        <s v="Tottenham Hotspur Fan Token"/>
        <s v="Jerry The Turtle By Matt Furie"/>
        <s v="DFI.Money"/>
        <s v="Pepe 2.0 (pepe20.vip)"/>
        <s v="Rizzmas"/>
        <s v="Samoyedcoin"/>
        <s v="ShibaDoge"/>
        <s v="v.systems"/>
        <s v="mStable Governance Token: Meta (MTA)"/>
        <s v="Presearch"/>
        <s v="Port3 Network"/>
        <s v="Project WITH"/>
        <s v="RWA Inc."/>
        <s v="Orbit Chain"/>
        <s v="AgriDex"/>
        <s v="Anome"/>
        <s v="VIDT DAO"/>
        <s v="Radiant"/>
        <s v="Donkey (DONKEY_BSC_MEME)"/>
        <s v="Taraxa"/>
        <s v="Kyuzo's Friends"/>
        <s v="Minati Coin"/>
        <s v="Brett (ETH)"/>
        <s v="Linde plc Tokenized Stock (Ondo)"/>
        <s v="yesnoerror"/>
        <s v="BytomDAO"/>
        <s v="LogX Network"/>
        <s v="Riser"/>
        <s v="VICE Token"/>
        <s v="Young Peezy AKA Pepe"/>
        <s v="JMPT Rewards"/>
        <s v="SwarmNode.ai"/>
        <s v="Serum"/>
        <s v="Amber tokenized stock (xStock)"/>
        <s v="StupidCoin"/>
        <s v="SuperTrust"/>
        <s v="Fusion"/>
      </sharedItems>
    </cacheField>
    <cacheField name="Symbol" numFmtId="0">
      <sharedItems count="299">
        <s v="CMC20"/>
        <s v="BTC"/>
        <s v="ETH"/>
        <s v="USDT"/>
        <s v="BNB"/>
        <s v="XRP"/>
        <s v="USDC"/>
        <s v="SOL"/>
        <s v="TRX"/>
        <s v="DOGE"/>
        <s v="ADA"/>
        <s v="BCH"/>
        <s v="LINK"/>
        <s v="XMR"/>
        <s v="HYPE"/>
        <s v="GRT"/>
        <s v="JST"/>
        <s v="BTT"/>
        <s v="FLOKI"/>
        <s v="SUN"/>
        <s v="CHZ"/>
        <s v="SYRUP"/>
        <s v="2Z"/>
        <s v="IOTA"/>
        <s v="BSV"/>
        <s v="KAIA"/>
        <s v="ENS"/>
        <s v="CFX"/>
        <s v="TWT"/>
        <s v="NFT"/>
        <s v="RAIN"/>
        <s v="USDf"/>
        <s v="JLP"/>
        <s v="BDX"/>
        <s v="USDY"/>
        <s v="FTN"/>
        <s v="USD0"/>
        <s v="USDAI"/>
        <s v="GHO"/>
        <s v="FRAX"/>
        <s v="BORG"/>
        <s v="ZBU"/>
        <s v="APEPE"/>
        <s v="LION"/>
        <s v="WFI"/>
        <s v="POPCAT"/>
        <s v="OM"/>
        <s v="XVG"/>
        <s v="RIVER"/>
        <s v="XPR"/>
        <s v="SNEK"/>
        <s v="LRC"/>
        <s v="NPC"/>
        <s v="ROSE"/>
        <s v="DRIFT"/>
        <s v="EURCV"/>
        <s v="MEW"/>
        <s v="REKT"/>
        <s v="ELF"/>
        <s v="ACH"/>
        <s v="ENJ"/>
        <s v="LAYER"/>
        <s v="ONE"/>
        <s v="IR"/>
        <s v="LON"/>
        <s v="WOO"/>
        <s v="TRB"/>
        <s v="XAUM"/>
        <s v="DOOD"/>
        <s v="BB"/>
        <s v="VNDC"/>
        <s v="SMART"/>
        <s v="PLUME"/>
        <s v="SIREN"/>
        <s v="PEAQ"/>
        <s v="OPEN"/>
        <s v="DRV"/>
        <s v="DBR"/>
        <s v="DAG"/>
        <s v="ACT"/>
        <s v="BITCOIN"/>
        <s v="FB"/>
        <s v="USTC"/>
        <s v="LISA"/>
        <s v="AVICI"/>
        <s v="METIS"/>
        <s v="CORN"/>
        <s v="Q"/>
        <s v="LQTY"/>
        <s v="哈基米"/>
        <s v="MNGO"/>
        <s v="RESOLV"/>
        <s v="TIMI"/>
        <s v="ADS"/>
        <s v="ELA"/>
        <s v="STRX"/>
        <s v="CHEX"/>
        <s v="eUSD"/>
        <s v="DORA"/>
        <s v="MIRA"/>
        <s v="B3"/>
        <s v="ORE"/>
        <s v="OXT"/>
        <s v="MED"/>
        <s v="SFI"/>
        <s v="PYR"/>
        <s v="FORTH"/>
        <s v="NAORIS"/>
        <s v="LYN"/>
        <s v="LMTS"/>
        <s v="MAV"/>
        <s v="QQQon"/>
        <s v="ROAM"/>
        <s v="C"/>
        <s v="MAX"/>
        <s v="PUFFER"/>
        <s v="OLAS"/>
        <s v="CETUS"/>
        <s v="BLESS"/>
        <s v="GAIX"/>
        <s v="XP"/>
        <s v="CRCLon"/>
        <s v="BGSC"/>
        <s v="ROG"/>
        <s v="PONKE"/>
        <s v="VANRY"/>
        <s v="TREE"/>
        <s v="ZKJ"/>
        <s v="ASR"/>
        <s v="MYTH"/>
        <s v="NTRN"/>
        <s v="HIGH"/>
        <s v="AVAIL"/>
        <s v="PEPECOIN"/>
        <s v="CREPE"/>
        <s v="COQ"/>
        <s v="ATS"/>
        <s v="ZEX"/>
        <s v="WECAN"/>
        <s v="XSGD"/>
        <s v="SPLD"/>
        <s v="AVL"/>
        <s v="BFG"/>
        <s v="GYEN"/>
        <s v="TLM"/>
        <s v="GOOGLon"/>
        <s v="AIN"/>
        <s v="COLX"/>
        <s v="PIKA"/>
        <s v="AGRS"/>
        <s v="PAYAI"/>
        <s v="TOKE"/>
        <s v="DMD"/>
        <s v="WOD"/>
        <s v="HEI"/>
        <s v="WAI"/>
        <s v="SWEAT"/>
        <s v="BEL"/>
        <s v="AVA"/>
        <s v="TLOS"/>
        <s v="SIX"/>
        <s v="LOCK"/>
        <s v="EFAon"/>
        <s v="XAUT0"/>
        <s v="KEYCAT"/>
        <s v="DUCK"/>
        <s v="KRL"/>
        <s v="XU3O8"/>
        <s v="STNK"/>
        <s v="HAIO"/>
        <s v="BKN"/>
        <s v="QUICK"/>
        <s v="COLS"/>
        <s v="USDQ"/>
        <s v="DADDY"/>
        <s v="0x0"/>
        <s v="EQB"/>
        <s v="RUSSELL"/>
        <s v="vLINK"/>
        <s v="FAIR3"/>
        <s v="KCT"/>
        <s v="GOLDAO"/>
        <s v="WHY"/>
        <s v="42"/>
        <s v="SCA"/>
        <s v="DHT"/>
        <s v="KAN"/>
        <s v="LC"/>
        <s v="DJI6930"/>
        <s v="SDT"/>
        <s v="MEMEFI"/>
        <s v="AURY"/>
        <s v="PBTC"/>
        <s v="GFAL"/>
        <s v="LUCKY"/>
        <s v="AIV"/>
        <s v="ALPHA"/>
        <s v="XEP"/>
        <s v="LINGO"/>
        <s v="MLC"/>
        <s v="SPARKLET"/>
        <s v="IOT"/>
        <s v="BROCCOLI"/>
        <s v="WELF"/>
        <s v="CATE"/>
        <s v="MOBY"/>
        <s v="PART"/>
        <s v="CTY"/>
        <s v="TA"/>
        <s v="XSWAP"/>
        <s v="HERO"/>
        <s v="POR"/>
        <s v="ASTRA"/>
        <s v="WUSD"/>
        <s v="UOS"/>
        <s v="MYST"/>
        <s v="MAY"/>
        <s v="HOSKY"/>
        <s v="BXN"/>
        <s v="PUSS"/>
        <s v="KAI"/>
        <s v="AXEL"/>
        <s v="DGMA"/>
        <s v="GOCHU"/>
        <s v="VNXAU"/>
        <s v="ROAR"/>
        <s v="BTS"/>
        <s v="RENTA"/>
        <s v="STAT"/>
        <s v="ATR"/>
        <s v="MONKY"/>
        <s v="CELL"/>
        <s v="OCT"/>
        <s v="RHEA"/>
        <s v="GROK"/>
        <s v="TEMCO"/>
        <s v="U"/>
        <s v="BOTTO"/>
        <s v="GOG"/>
        <s v="RJV"/>
        <s v="PGon"/>
        <s v="CA"/>
        <s v="REF"/>
        <s v="ZCL"/>
        <s v="BCUT"/>
        <s v="U2U"/>
        <s v="TOKEN"/>
        <s v="MSFTon"/>
        <s v="ZCX"/>
        <s v="GIGL"/>
        <s v="CERE"/>
        <s v="BILLY"/>
        <s v="HAROLD"/>
        <s v="CTXC"/>
        <s v="LA"/>
        <s v="AEROBUD"/>
        <s v="PANDU"/>
        <s v="CREAM"/>
        <s v="MUon"/>
        <s v="TRA"/>
        <s v="DOYR"/>
        <s v="FITFI"/>
        <s v="SPURS"/>
        <s v="JYAI"/>
        <s v="YFII"/>
        <s v="PEPE2.0"/>
        <s v="RIZZMAS"/>
        <s v="SAMO"/>
        <s v="SHIBDOGE"/>
        <s v="VSYS"/>
        <s v="MTA"/>
        <s v="PRE"/>
        <s v="PORT3"/>
        <s v="WIKEN"/>
        <s v="RWAINC"/>
        <s v="ORC"/>
        <s v="AGRI"/>
        <s v="ANOME"/>
        <s v="VIDT"/>
        <s v="RXD"/>
        <s v="DONKEY"/>
        <s v="TARA"/>
        <s v="KO"/>
        <s v="MNTC"/>
        <s v="BRETT"/>
        <s v="LINon"/>
        <s v="YNE"/>
        <s v="BTM"/>
        <s v="LOGX"/>
        <s v="RIS"/>
        <s v="VICE"/>
        <s v="PEEZY"/>
        <s v="JMPT"/>
        <s v="SNAI"/>
        <s v="SRM"/>
        <s v="AMBRX"/>
        <s v="STUPID"/>
        <s v="SUT"/>
        <s v="FSN"/>
      </sharedItems>
    </cacheField>
    <cacheField name="Price (USD)" numFmtId="0">
      <sharedItems containsSemiMixedTypes="0" containsString="0" containsNumber="1" minValue="2.139E-5" maxValue="88617.76"/>
    </cacheField>
    <cacheField name="1h Change (%)" numFmtId="0">
      <sharedItems/>
    </cacheField>
    <cacheField name="Market Cap" numFmtId="0">
      <sharedItems/>
    </cacheField>
    <cacheField name="Volume (24h) USD" numFmtId="0">
      <sharedItems/>
    </cacheField>
    <cacheField name="Circulating Supply" numFmtId="0">
      <sharedItems/>
    </cacheField>
    <cacheField name="previous 1H price" numFmtId="0">
      <sharedItems containsSemiMixedTypes="0" containsString="0" containsNumber="1" minValue="2.0937744714173842E-5" maxValue="88396.768079800502"/>
    </cacheField>
    <cacheField name="price_change" numFmtId="0">
      <sharedItems containsSemiMixedTypes="0" containsString="0" containsNumber="1" minValue="0" maxValue="220.9919201994926"/>
    </cacheField>
    <cacheField name="price_range" numFmtId="0">
      <sharedItems count="2">
        <s v="&gt;= $10"/>
        <s v="&lt; $10"/>
      </sharedItems>
    </cacheField>
  </cacheFields>
  <extLst>
    <ext xmlns:x14="http://schemas.microsoft.com/office/spreadsheetml/2009/9/main" uri="{725AE2AE-9491-48be-B2B4-4EB974FC3084}">
      <x14:pivotCacheDefinition pivotCacheId="7056567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n v="186.71"/>
    <s v="0.06%"/>
    <s v="$6,385,658"/>
    <s v="$1,095,928"/>
    <s v="34.19K"/>
    <n v="186.59804117529484"/>
    <n v="0.11195882470516949"/>
    <x v="0"/>
  </r>
  <r>
    <x v="1"/>
    <x v="1"/>
    <n v="88617.76"/>
    <s v="0.25%"/>
    <s v="$1,769,018,049,912"/>
    <s v="$15,900,106,528"/>
    <s v="19.96M"/>
    <n v="88396.768079800502"/>
    <n v="220.9919201994926"/>
    <x v="0"/>
  </r>
  <r>
    <x v="2"/>
    <x v="2"/>
    <n v="2995.26"/>
    <s v="0.21%"/>
    <s v="$361,423,587,738"/>
    <s v="$8,206,517,127"/>
    <s v="120.69M"/>
    <n v="2988.9831354156272"/>
    <n v="6.2768645843730155"/>
    <x v="0"/>
  </r>
  <r>
    <x v="3"/>
    <x v="3"/>
    <n v="0.99960000000000004"/>
    <s v="0.00%"/>
    <s v="$186,753,660,259"/>
    <s v="$49,537,630,315"/>
    <s v="186.82B"/>
    <n v="0.99960000000000004"/>
    <n v="0"/>
    <x v="1"/>
  </r>
  <r>
    <x v="4"/>
    <x v="4"/>
    <n v="855.25"/>
    <s v="0.17%"/>
    <s v="$117,794,143,481"/>
    <s v="$1,382,355,356"/>
    <s v="137.73M"/>
    <n v="853.79854247778769"/>
    <n v="1.4514575222123085"/>
    <x v="0"/>
  </r>
  <r>
    <x v="5"/>
    <x v="5"/>
    <n v="1.93"/>
    <s v="0.69%"/>
    <s v="$117,071,294,680"/>
    <s v="$2,414,665,365"/>
    <s v="60.57B"/>
    <n v="1.9167742576224056"/>
    <n v="1.3225742377594329E-2"/>
    <x v="1"/>
  </r>
  <r>
    <x v="6"/>
    <x v="6"/>
    <n v="0.99970000000000003"/>
    <s v="0.01%"/>
    <s v="$77,041,970,766"/>
    <s v="$4,090,327,607"/>
    <s v="77.06B"/>
    <n v="0.99960003999600044"/>
    <n v="9.9960003999588487E-5"/>
    <x v="1"/>
  </r>
  <r>
    <x v="7"/>
    <x v="7"/>
    <n v="125.68"/>
    <s v="0.56%"/>
    <s v="$70,670,265,414"/>
    <s v="$1,789,456,574"/>
    <s v="562.29M"/>
    <n v="124.98011137629275"/>
    <n v="0.69988862370725258"/>
    <x v="0"/>
  </r>
  <r>
    <x v="8"/>
    <x v="8"/>
    <n v="0.28510000000000002"/>
    <s v="0.21%"/>
    <s v="$27,003,517,160"/>
    <s v="$446,524,909"/>
    <s v="94.68B"/>
    <n v="0.28450254465622193"/>
    <n v="5.9745534377808607E-4"/>
    <x v="1"/>
  </r>
  <r>
    <x v="9"/>
    <x v="9"/>
    <n v="0.1318"/>
    <s v="0.80%"/>
    <s v="$22,142,131,632"/>
    <s v="$518,471,540"/>
    <s v="167.98B"/>
    <n v="0.13075396825396826"/>
    <n v="1.0460317460317392E-3"/>
    <x v="1"/>
  </r>
  <r>
    <x v="10"/>
    <x v="10"/>
    <n v="0.37030000000000002"/>
    <s v="0.86%"/>
    <s v="$13,306,597,136"/>
    <s v="$333,761,113"/>
    <s v="35.92B"/>
    <n v="0.36714257386476307"/>
    <n v="3.1574261352369515E-3"/>
    <x v="1"/>
  </r>
  <r>
    <x v="11"/>
    <x v="11"/>
    <n v="586.88"/>
    <s v="0.31%"/>
    <s v="$11,719,903,275"/>
    <s v="$294,129,073"/>
    <s v="19.96M"/>
    <n v="585.06629448708998"/>
    <n v="1.813705512910019"/>
    <x v="0"/>
  </r>
  <r>
    <x v="12"/>
    <x v="12"/>
    <n v="12.58"/>
    <s v="0.72%"/>
    <s v="$8,911,264,583"/>
    <s v="$264,909,841"/>
    <s v="708.09M"/>
    <n v="12.490071485305798"/>
    <n v="8.9928514694202377E-2"/>
    <x v="0"/>
  </r>
  <r>
    <x v="13"/>
    <x v="13"/>
    <n v="469.29"/>
    <s v="0.94%"/>
    <s v="$8,657,043,978"/>
    <s v="$213,444,264"/>
    <s v="18.44M"/>
    <n v="464.91975430949077"/>
    <n v="4.3702456905092504"/>
    <x v="0"/>
  </r>
  <r>
    <x v="14"/>
    <x v="14"/>
    <n v="24.21"/>
    <s v="0.55%"/>
    <s v="$8,152,825,164"/>
    <s v="$151,858,829"/>
    <s v="336.68M"/>
    <n v="24.077573346593734"/>
    <n v="0.13242665340626658"/>
    <x v="0"/>
  </r>
  <r>
    <x v="15"/>
    <x v="15"/>
    <n v="3.7179999999999998E-2"/>
    <s v="0.72%"/>
    <s v="$396,283,095"/>
    <s v="$12,502,267"/>
    <s v="10.65B"/>
    <n v="3.691421763304209E-2"/>
    <n v="2.6578236695790763E-4"/>
    <x v="1"/>
  </r>
  <r>
    <x v="16"/>
    <x v="16"/>
    <n v="3.9899999999999998E-2"/>
    <s v="0.14%"/>
    <s v="$395,100,959"/>
    <s v="$27,177,132"/>
    <s v="9.9B"/>
    <n v="3.9844218094667462E-2"/>
    <n v="5.5781905332535908E-5"/>
    <x v="1"/>
  </r>
  <r>
    <x v="17"/>
    <x v="17"/>
    <n v="6.3965999999999995E-2"/>
    <s v="0.18%"/>
    <s v="$391,089,084"/>
    <s v="$10,638,334"/>
    <s v="986.06T"/>
    <n v="6.3851068077460563E-2"/>
    <n v="1.1493192253943241E-4"/>
    <x v="1"/>
  </r>
  <r>
    <x v="18"/>
    <x v="18"/>
    <n v="4.0970000000000002E-5"/>
    <s v="0.65%"/>
    <s v="$390,942,713"/>
    <s v="$20,456,716"/>
    <s v="9.54T"/>
    <n v="4.0705414803775466E-5"/>
    <n v="2.6458519622453663E-7"/>
    <x v="1"/>
  </r>
  <r>
    <x v="19"/>
    <x v="19"/>
    <n v="2.0209999999999999E-2"/>
    <s v="0.12%"/>
    <s v="$387,986,393"/>
    <s v="$17,850,726"/>
    <s v="19.18B"/>
    <n v="2.0185777067518975E-2"/>
    <n v="2.4222932481023779E-5"/>
    <x v="1"/>
  </r>
  <r>
    <x v="20"/>
    <x v="20"/>
    <n v="3.7139999999999999E-2"/>
    <s v="2.43%"/>
    <s v="$377,832,305"/>
    <s v="$129,423,812"/>
    <s v="10.17B"/>
    <n v="3.6258908522893686E-2"/>
    <n v="8.810914771063133E-4"/>
    <x v="1"/>
  </r>
  <r>
    <x v="21"/>
    <x v="21"/>
    <n v="0.3291"/>
    <s v="0.60%"/>
    <s v="$376,034,713"/>
    <s v="$27,336,461"/>
    <s v="1.14B"/>
    <n v="0.3271371769383698"/>
    <n v="1.9628230616302034E-3"/>
    <x v="1"/>
  </r>
  <r>
    <x v="22"/>
    <x v="22"/>
    <n v="0.108"/>
    <s v="0.91%"/>
    <s v="$375,067,798"/>
    <s v="$9,957,726"/>
    <s v="3.47B"/>
    <n v="0.1070260628282628"/>
    <n v="9.7393717173720196E-4"/>
    <x v="1"/>
  </r>
  <r>
    <x v="23"/>
    <x v="23"/>
    <n v="8.924E-2"/>
    <s v="0.80%"/>
    <s v="$374,367,380"/>
    <s v="$9,083,545"/>
    <s v="4.19B"/>
    <n v="8.8531746031746031E-2"/>
    <n v="7.0825396825396902E-4"/>
    <x v="1"/>
  </r>
  <r>
    <x v="24"/>
    <x v="24"/>
    <n v="18.7"/>
    <s v="0.27%"/>
    <s v="$373,513,513"/>
    <s v="$10,885,014"/>
    <s v="19.96M"/>
    <n v="18.64964595591902"/>
    <n v="5.0354044080979321E-2"/>
    <x v="0"/>
  </r>
  <r>
    <x v="25"/>
    <x v="25"/>
    <n v="5.9990000000000002E-2"/>
    <s v="0.31%"/>
    <s v="$371,881,052"/>
    <s v="$16,546,673"/>
    <s v="6.19B"/>
    <n v="5.9804605722260984E-2"/>
    <n v="1.8539427773901773E-4"/>
    <x v="1"/>
  </r>
  <r>
    <x v="26"/>
    <x v="26"/>
    <n v="9.68"/>
    <s v="0.64%"/>
    <s v="$369,793,963"/>
    <s v="$18,934,587"/>
    <s v="38.19M"/>
    <n v="9.6184419713831488"/>
    <n v="6.1558028616850891E-2"/>
    <x v="1"/>
  </r>
  <r>
    <x v="27"/>
    <x v="27"/>
    <n v="7.1330000000000005E-2"/>
    <s v="1.02%"/>
    <s v="$368,504,918"/>
    <s v="$11,229,707"/>
    <s v="5.16B"/>
    <n v="7.060978024153633E-2"/>
    <n v="7.2021975846367492E-4"/>
    <x v="1"/>
  </r>
  <r>
    <x v="28"/>
    <x v="28"/>
    <n v="0.83689999999999998"/>
    <s v="0.36%"/>
    <s v="$359,773,572"/>
    <s v="$15,589,502"/>
    <s v="429.86M"/>
    <n v="0.83389796731765642"/>
    <n v="3.0020326823435584E-3"/>
    <x v="1"/>
  </r>
  <r>
    <x v="29"/>
    <x v="29"/>
    <n v="6.3516000000000003E-2"/>
    <s v="0.31%"/>
    <s v="$351,671,089"/>
    <s v="$18,785,205"/>
    <s v="999.99T"/>
    <n v="6.3319708902402544E-2"/>
    <n v="1.9629109759745911E-4"/>
    <x v="1"/>
  </r>
  <r>
    <x v="30"/>
    <x v="30"/>
    <n v="7.6319999999999999E-3"/>
    <s v="0.21%"/>
    <s v="$2,591,576,160"/>
    <s v="$25,925,939"/>
    <s v="339.53B"/>
    <n v="7.6160063865881649E-3"/>
    <n v="1.5993613411834952E-5"/>
    <x v="1"/>
  </r>
  <r>
    <x v="31"/>
    <x v="31"/>
    <n v="0.99770000000000003"/>
    <s v="0.06%"/>
    <s v="$2,106,884,484"/>
    <s v="$584,085"/>
    <s v="2.11B"/>
    <n v="0.99710173895662613"/>
    <n v="5.982610433739044E-4"/>
    <x v="1"/>
  </r>
  <r>
    <x v="32"/>
    <x v="32"/>
    <n v="4.53"/>
    <s v="0.24%"/>
    <s v="$1,535,961,932"/>
    <s v="$14,587,641"/>
    <s v="338.43M"/>
    <n v="4.5191540303272149"/>
    <n v="1.0845969672785394E-2"/>
    <x v="1"/>
  </r>
  <r>
    <x v="33"/>
    <x v="33"/>
    <n v="9.7530000000000006E-2"/>
    <s v="1.53%"/>
    <s v="$729,098,862"/>
    <s v="$10,825,041"/>
    <s v="7.47B"/>
    <n v="9.6060277750418588E-2"/>
    <n v="1.4697222495814177E-3"/>
    <x v="1"/>
  </r>
  <r>
    <x v="34"/>
    <x v="34"/>
    <n v="1.1100000000000001"/>
    <s v="0.01%"/>
    <s v="$695,165,286"/>
    <s v="$1,491,792"/>
    <s v="622.76M"/>
    <n v="1.1098890110988902"/>
    <n v="1.1098890110994297E-4"/>
    <x v="1"/>
  </r>
  <r>
    <x v="35"/>
    <x v="35"/>
    <n v="1.39"/>
    <s v="0.01%"/>
    <s v="$610,617,101"/>
    <s v="$14,824,547"/>
    <s v="436.26M"/>
    <n v="1.3898610138986101"/>
    <n v="1.3898610138984857E-4"/>
    <x v="1"/>
  </r>
  <r>
    <x v="36"/>
    <x v="36"/>
    <n v="0.99819999999999998"/>
    <s v="0.00%"/>
    <s v="$562,841,704"/>
    <s v="$360,034"/>
    <s v="563.83M"/>
    <n v="0.99819999999999998"/>
    <n v="0"/>
    <x v="1"/>
  </r>
  <r>
    <x v="37"/>
    <x v="37"/>
    <n v="1"/>
    <s v="0.00%"/>
    <s v="$501,660,920"/>
    <s v="$0"/>
    <s v="501.35M"/>
    <n v="1"/>
    <n v="0"/>
    <x v="1"/>
  </r>
  <r>
    <x v="38"/>
    <x v="38"/>
    <n v="0.99939999999999996"/>
    <s v="0.02%"/>
    <s v="$494,983,038"/>
    <s v="$112,416"/>
    <s v="495.25M"/>
    <n v="0.99920015996800637"/>
    <n v="1.9984003199358114E-4"/>
    <x v="1"/>
  </r>
  <r>
    <x v="39"/>
    <x v="39"/>
    <n v="0.99409999999999998"/>
    <s v="0.14%"/>
    <s v="$278,706,336"/>
    <s v="$185,066"/>
    <s v="280.35M"/>
    <n v="0.99271020571200308"/>
    <n v="1.3897942879969039E-3"/>
    <x v="1"/>
  </r>
  <r>
    <x v="40"/>
    <x v="40"/>
    <n v="0.27060000000000001"/>
    <s v="0.00%"/>
    <s v="$265,798,946"/>
    <s v="$206,045"/>
    <s v="982.25M"/>
    <n v="0.27060000000000001"/>
    <n v="0"/>
    <x v="1"/>
  </r>
  <r>
    <x v="41"/>
    <x v="41"/>
    <n v="0.60119999999999996"/>
    <s v="0.02%"/>
    <s v="$248,711,592"/>
    <s v="$162,903"/>
    <s v="413.62M"/>
    <n v="0.60107978404319129"/>
    <n v="1.2021595680866692E-4"/>
    <x v="1"/>
  </r>
  <r>
    <x v="42"/>
    <x v="42"/>
    <n v="5.1178000000000001E-2"/>
    <s v="0.09%"/>
    <s v="$247,500,195"/>
    <s v="$30,888,957"/>
    <s v="210T"/>
    <n v="5.1131981216904793E-2"/>
    <n v="4.6018783095208571E-5"/>
    <x v="1"/>
  </r>
  <r>
    <x v="43"/>
    <x v="43"/>
    <n v="6.8589999999999996E-3"/>
    <s v="0.02%"/>
    <s v="$211,588,925"/>
    <s v="$719,363"/>
    <s v="30.84B"/>
    <n v="6.8576284743051387E-3"/>
    <n v="1.3715256948609172E-6"/>
    <x v="1"/>
  </r>
  <r>
    <x v="44"/>
    <x v="44"/>
    <n v="2.67"/>
    <s v="0.41%"/>
    <s v="$203,655,032"/>
    <s v="$2,180,013"/>
    <s v="76.17M"/>
    <n v="2.6590976994323272"/>
    <n v="1.0902300567672718E-2"/>
    <x v="1"/>
  </r>
  <r>
    <x v="45"/>
    <x v="45"/>
    <n v="8.1470000000000001E-2"/>
    <s v="0.99%"/>
    <s v="$79,843,036"/>
    <s v="$8,208,437"/>
    <s v="979.97M"/>
    <n v="8.0671353599366266E-2"/>
    <n v="7.986464006337346E-4"/>
    <x v="1"/>
  </r>
  <r>
    <x v="46"/>
    <x v="46"/>
    <n v="6.9639999999999994E-2"/>
    <s v="0.47%"/>
    <s v="$79,635,764"/>
    <s v="$27,951,784"/>
    <s v="1.14B"/>
    <n v="6.9314223151189402E-2"/>
    <n v="3.257768488105911E-4"/>
    <x v="1"/>
  </r>
  <r>
    <x v="47"/>
    <x v="47"/>
    <n v="4.81E-3"/>
    <s v="0.92%"/>
    <s v="$79,478,245"/>
    <s v="$4,045,300"/>
    <s v="16.52B"/>
    <n v="4.7661514070550925E-3"/>
    <n v="4.3848592944907561E-5"/>
    <x v="1"/>
  </r>
  <r>
    <x v="48"/>
    <x v="48"/>
    <n v="4.05"/>
    <s v="0.35%"/>
    <s v="$79,390,425"/>
    <s v="$20,435,643"/>
    <s v="19.6M"/>
    <n v="4.0358744394618826"/>
    <n v="1.4125560538117199E-2"/>
    <x v="1"/>
  </r>
  <r>
    <x v="49"/>
    <x v="49"/>
    <n v="2.8080000000000002E-3"/>
    <s v="0.10%"/>
    <s v="$79,288,970"/>
    <s v="$2,515,229"/>
    <s v="28.23B"/>
    <n v="2.8051948051948058E-3"/>
    <n v="2.8051948051943665E-6"/>
    <x v="1"/>
  </r>
  <r>
    <x v="50"/>
    <x v="50"/>
    <n v="1.054E-3"/>
    <s v="0.46%"/>
    <s v="$78,874,838"/>
    <s v="$3,614,454"/>
    <s v="74.76B"/>
    <n v="1.049173800517619E-3"/>
    <n v="4.8261994823810099E-6"/>
    <x v="1"/>
  </r>
  <r>
    <x v="51"/>
    <x v="51"/>
    <n v="5.7540000000000001E-2"/>
    <s v="0.71%"/>
    <s v="$78,721,990"/>
    <s v="$13,802,540"/>
    <s v="1.36B"/>
    <n v="5.7134346142389034E-2"/>
    <n v="4.0565385761096723E-4"/>
    <x v="1"/>
  </r>
  <r>
    <x v="52"/>
    <x v="52"/>
    <n v="1.0370000000000001E-2"/>
    <s v="0.48%"/>
    <s v="$78,155,285"/>
    <s v="$3,750,878"/>
    <s v="7.53B"/>
    <n v="1.0320461783439492E-2"/>
    <n v="4.9538216560509121E-5"/>
    <x v="1"/>
  </r>
  <r>
    <x v="53"/>
    <x v="53"/>
    <n v="1.04E-2"/>
    <s v="0.84%"/>
    <s v="$77,913,243"/>
    <s v="$1,812,441"/>
    <s v="7.48B"/>
    <n v="1.0313367711225704E-2"/>
    <n v="8.6632288774295824E-5"/>
    <x v="1"/>
  </r>
  <r>
    <x v="54"/>
    <x v="54"/>
    <n v="0.15579999999999999"/>
    <s v="0.76%"/>
    <s v="$77,060,203"/>
    <s v="$7,938,135"/>
    <s v="494.54M"/>
    <n v="0.15462485113140134"/>
    <n v="1.1751488685986522E-3"/>
    <x v="1"/>
  </r>
  <r>
    <x v="55"/>
    <x v="55"/>
    <n v="1.17"/>
    <s v="0.00%"/>
    <s v="$76,986,337"/>
    <s v="$4,555,095"/>
    <s v="65.75M"/>
    <n v="1.17"/>
    <n v="0"/>
    <x v="1"/>
  </r>
  <r>
    <x v="56"/>
    <x v="56"/>
    <n v="8.652E-4"/>
    <s v="1.00%"/>
    <s v="$76,913,570"/>
    <s v="$12,405,461"/>
    <s v="88.88B"/>
    <n v="8.5663366336633667E-4"/>
    <n v="8.5663366336633266E-6"/>
    <x v="1"/>
  </r>
  <r>
    <x v="57"/>
    <x v="57"/>
    <n v="6.2742000000000006E-2"/>
    <s v="0.01%"/>
    <s v="$76,834,825"/>
    <s v="$447,796"/>
    <s v="280.13T"/>
    <n v="6.2735726427357266E-2"/>
    <n v="6.2735726427398664E-6"/>
    <x v="1"/>
  </r>
  <r>
    <x v="58"/>
    <x v="58"/>
    <n v="9.3899999999999997E-2"/>
    <s v="1.18%"/>
    <s v="$76,645,429"/>
    <s v="$2,729,606"/>
    <s v="816.17M"/>
    <n v="9.2804902154575999E-2"/>
    <n v="1.0950978454239979E-3"/>
    <x v="1"/>
  </r>
  <r>
    <x v="59"/>
    <x v="59"/>
    <n v="7.8309999999999994E-3"/>
    <s v="0.03%"/>
    <s v="$76,634,277"/>
    <s v="$4,586,042"/>
    <s v="9.78B"/>
    <n v="7.8286514045786265E-3"/>
    <n v="2.3485954213729038E-6"/>
    <x v="1"/>
  </r>
  <r>
    <x v="60"/>
    <x v="60"/>
    <n v="2.7640000000000001E-2"/>
    <s v="0.61%"/>
    <s v="$52,914,915"/>
    <s v="$5,555,762"/>
    <s v="1.91B"/>
    <n v="2.7472418248683034E-2"/>
    <n v="1.6758175131696695E-4"/>
    <x v="1"/>
  </r>
  <r>
    <x v="61"/>
    <x v="61"/>
    <n v="0.16919999999999999"/>
    <s v="0.95%"/>
    <s v="$52,882,038"/>
    <s v="$9,820,133"/>
    <s v="312.51M"/>
    <n v="0.1676077265973254"/>
    <n v="1.5922734026745933E-3"/>
    <x v="1"/>
  </r>
  <r>
    <x v="62"/>
    <x v="62"/>
    <n v="3.558E-3"/>
    <s v="0.65%"/>
    <s v="$52,657,130"/>
    <s v="$4,008,415"/>
    <s v="14.79B"/>
    <n v="3.5350223546944861E-3"/>
    <n v="2.2977645305513866E-5"/>
    <x v="1"/>
  </r>
  <r>
    <x v="63"/>
    <x v="63"/>
    <n v="0.25769999999999998"/>
    <s v="10.08%"/>
    <s v="$52,836,877"/>
    <s v="$166,881,260"/>
    <s v="205M"/>
    <n v="0.23410247093023254"/>
    <n v="2.3597529069767448E-2"/>
    <x v="1"/>
  </r>
  <r>
    <x v="64"/>
    <x v="64"/>
    <n v="0.4234"/>
    <s v="0.01%"/>
    <s v="$52,548,578"/>
    <s v="$16,913"/>
    <s v="124.08M"/>
    <n v="0.42335766423357662"/>
    <n v="4.2335766423373666E-5"/>
    <x v="1"/>
  </r>
  <r>
    <x v="65"/>
    <x v="65"/>
    <n v="2.7730000000000001E-2"/>
    <s v="0.96%"/>
    <s v="$52,537,357"/>
    <s v="$12,248,565"/>
    <s v="1.89B"/>
    <n v="2.7466323296354993E-2"/>
    <n v="2.6367670364500773E-4"/>
    <x v="1"/>
  </r>
  <r>
    <x v="66"/>
    <x v="66"/>
    <n v="19.14"/>
    <s v="0.78%"/>
    <s v="$52,368,644"/>
    <s v="$9,477,300"/>
    <s v="2.73M"/>
    <n v="18.991863464973211"/>
    <n v="0.14813653502679003"/>
    <x v="0"/>
  </r>
  <r>
    <x v="67"/>
    <x v="67"/>
    <n v="4356.1000000000004"/>
    <s v="0.01%"/>
    <s v="$52,353,793"/>
    <s v="$120,938"/>
    <s v="12.01K"/>
    <n v="4355.6644335566443"/>
    <n v="0.43556644335603778"/>
    <x v="0"/>
  </r>
  <r>
    <x v="68"/>
    <x v="68"/>
    <n v="6.7060000000000002E-3"/>
    <s v="5.49%"/>
    <s v="$52,309,004"/>
    <s v="$28,154,057"/>
    <s v="7.8B"/>
    <n v="6.3570006635700069E-3"/>
    <n v="3.4899933642999325E-4"/>
    <x v="1"/>
  </r>
  <r>
    <x v="69"/>
    <x v="69"/>
    <n v="5.638E-2"/>
    <s v="1.23%"/>
    <s v="$52,300,293"/>
    <s v="$6,761,082"/>
    <s v="927.62M"/>
    <n v="5.5694952089301593E-2"/>
    <n v="6.850479106984067E-4"/>
    <x v="1"/>
  </r>
  <r>
    <x v="70"/>
    <x v="70"/>
    <n v="3.6980000000000002E-5"/>
    <s v="0.03%"/>
    <s v="$52,238,423"/>
    <s v="$6,093,856"/>
    <s v="1.41T"/>
    <n v="3.6968909327201844E-5"/>
    <n v="1.1090672798158118E-8"/>
    <x v="1"/>
  </r>
  <r>
    <x v="71"/>
    <x v="71"/>
    <n v="7.7499999999999999E-3"/>
    <s v="0.11%"/>
    <s v="$52,087,682"/>
    <s v="$621,225"/>
    <s v="6.72B"/>
    <n v="7.7414843671960833E-3"/>
    <n v="8.5156328039166437E-6"/>
    <x v="1"/>
  </r>
  <r>
    <x v="72"/>
    <x v="72"/>
    <n v="1.6549999999999999E-2"/>
    <s v="1.77%"/>
    <s v="$51,914,331"/>
    <s v="$56,942,962"/>
    <s v="3.13B"/>
    <n v="1.6262159772034979E-2"/>
    <n v="2.878402279650194E-4"/>
    <x v="1"/>
  </r>
  <r>
    <x v="73"/>
    <x v="73"/>
    <n v="7.1040000000000006E-2"/>
    <s v="0.78%"/>
    <s v="$51,784,517"/>
    <s v="$11,686,775"/>
    <s v="728.92M"/>
    <n v="7.0490176622345704E-2"/>
    <n v="5.4982337765430156E-4"/>
    <x v="1"/>
  </r>
  <r>
    <x v="74"/>
    <x v="74"/>
    <n v="3.1210000000000002E-2"/>
    <s v="1.27%"/>
    <s v="$51,688,897"/>
    <s v="$4,447,052"/>
    <s v="1.65B"/>
    <n v="3.0818603732596032E-2"/>
    <n v="3.9139626740396921E-4"/>
    <x v="1"/>
  </r>
  <r>
    <x v="75"/>
    <x v="75"/>
    <n v="0.17610000000000001"/>
    <s v="1.14%"/>
    <s v="$37,963,403"/>
    <s v="$8,807,387"/>
    <s v="215.5M"/>
    <n v="0.17411508799683606"/>
    <n v="1.9849120031639467E-3"/>
    <x v="1"/>
  </r>
  <r>
    <x v="76"/>
    <x v="76"/>
    <n v="5.1450000000000003E-2"/>
    <s v="0.06%"/>
    <s v="$37,951,269"/>
    <s v="$217,133"/>
    <s v="737.52M"/>
    <n v="5.1419148510893471E-2"/>
    <n v="3.085148910653146E-5"/>
    <x v="1"/>
  </r>
  <r>
    <x v="77"/>
    <x v="77"/>
    <n v="1.959E-2"/>
    <s v="0.40%"/>
    <s v="$37,719,971"/>
    <s v="$4,889,683"/>
    <s v="1.92B"/>
    <n v="1.9511952191235058E-2"/>
    <n v="7.8047808764941662E-5"/>
    <x v="1"/>
  </r>
  <r>
    <x v="78"/>
    <x v="78"/>
    <n v="1.304E-2"/>
    <s v="0.10%"/>
    <s v="$37,475,389"/>
    <s v="$8,331,707"/>
    <s v="2.87B"/>
    <n v="1.3026973026973029E-2"/>
    <n v="1.3026973026970812E-5"/>
    <x v="1"/>
  </r>
  <r>
    <x v="79"/>
    <x v="79"/>
    <n v="3.9379999999999998E-2"/>
    <s v="2.79%"/>
    <s v="$37,344,308"/>
    <s v="$133,808,206"/>
    <s v="948.24M"/>
    <n v="3.8311119758731388E-2"/>
    <n v="1.0688802412686105E-3"/>
    <x v="1"/>
  </r>
  <r>
    <x v="80"/>
    <x v="80"/>
    <n v="3.7319999999999999E-2"/>
    <s v="0.39%"/>
    <s v="$37,321,954"/>
    <s v="$3,794,553"/>
    <s v="999.79M"/>
    <n v="3.7175017432015137E-2"/>
    <n v="1.4498256798486236E-4"/>
    <x v="1"/>
  </r>
  <r>
    <x v="81"/>
    <x v="81"/>
    <n v="0.40689999999999998"/>
    <s v="0.41%"/>
    <s v="$37,236,360"/>
    <s v="$2,801,939"/>
    <s v="91.49M"/>
    <n v="0.40523852205955579"/>
    <n v="1.6614779404441893E-3"/>
    <x v="1"/>
  </r>
  <r>
    <x v="82"/>
    <x v="82"/>
    <n v="6.6610000000000003E-3"/>
    <s v="1.08%"/>
    <s v="$37,191,884"/>
    <s v="$9,660,516"/>
    <s v="5.58B"/>
    <n v="6.5898298377522766E-3"/>
    <n v="7.1170162247723677E-5"/>
    <x v="1"/>
  </r>
  <r>
    <x v="83"/>
    <x v="83"/>
    <n v="0.17199999999999999"/>
    <s v="1.32%"/>
    <s v="$37,194,866"/>
    <s v="$335,290,359"/>
    <s v="216.22M"/>
    <n v="0.16975917883932093"/>
    <n v="2.2408211606790573E-3"/>
    <x v="1"/>
  </r>
  <r>
    <x v="84"/>
    <x v="84"/>
    <n v="2.88"/>
    <s v="0.44%"/>
    <s v="$37,194,605"/>
    <s v="$2,504,670"/>
    <s v="12.89M"/>
    <n v="2.8673835125448028"/>
    <n v="1.2616487455197056E-2"/>
    <x v="1"/>
  </r>
  <r>
    <x v="85"/>
    <x v="85"/>
    <n v="5.44"/>
    <s v="0.81%"/>
    <s v="$37,123,485"/>
    <s v="$4,761,259"/>
    <s v="6.81M"/>
    <n v="5.3962900505902196"/>
    <n v="4.3709949409780791E-2"/>
    <x v="1"/>
  </r>
  <r>
    <x v="86"/>
    <x v="86"/>
    <n v="7.0569999999999994E-2"/>
    <s v="0.20%"/>
    <s v="$37,052,831"/>
    <s v="$7,172,434"/>
    <s v="525M"/>
    <n v="7.0429141716566862E-2"/>
    <n v="1.4085828343313178E-4"/>
    <x v="1"/>
  </r>
  <r>
    <x v="87"/>
    <x v="87"/>
    <n v="1.409E-2"/>
    <s v="0.10%"/>
    <s v="$36,968,498"/>
    <s v="$4,049,212"/>
    <s v="2.62B"/>
    <n v="1.4075924075924078E-2"/>
    <n v="1.407592407592223E-5"/>
    <x v="1"/>
  </r>
  <r>
    <x v="88"/>
    <x v="88"/>
    <n v="0.38679999999999998"/>
    <s v="0.57%"/>
    <s v="$36,948,795"/>
    <s v="$4,091,513"/>
    <s v="95.51M"/>
    <n v="0.38460773590533953"/>
    <n v="2.1922640946604455E-3"/>
    <x v="1"/>
  </r>
  <r>
    <x v="89"/>
    <x v="89"/>
    <n v="3.671E-2"/>
    <s v="3.19%"/>
    <s v="$36,712,969"/>
    <s v="$3,987,767"/>
    <s v="1B"/>
    <n v="3.5575152631068897E-2"/>
    <n v="1.1348473689311023E-3"/>
    <x v="1"/>
  </r>
  <r>
    <x v="90"/>
    <x v="90"/>
    <n v="2.5159999999999998E-2"/>
    <s v="11.86%"/>
    <s v="$28,119,082"/>
    <s v="$228,924"/>
    <s v="1.11B"/>
    <n v="2.2492401215805469E-2"/>
    <n v="2.6675987841945289E-3"/>
    <x v="1"/>
  </r>
  <r>
    <x v="91"/>
    <x v="91"/>
    <n v="8.2129999999999995E-2"/>
    <s v="3.32%"/>
    <s v="$28,030,314"/>
    <s v="$44,457,598"/>
    <s v="341.26M"/>
    <n v="7.9490902051877671E-2"/>
    <n v="2.6390979481223237E-3"/>
    <x v="1"/>
  </r>
  <r>
    <x v="92"/>
    <x v="92"/>
    <n v="7.6810000000000003E-2"/>
    <s v="0.05%"/>
    <s v="$27,988,460"/>
    <s v="$11,474,920"/>
    <s v="364.35M"/>
    <n v="7.6771614192903556E-2"/>
    <n v="3.8385807096447122E-5"/>
    <x v="1"/>
  </r>
  <r>
    <x v="93"/>
    <x v="93"/>
    <n v="0.72240000000000004"/>
    <s v="0.16%"/>
    <s v="$27,987,125"/>
    <s v="$246,689"/>
    <s v="38.74M"/>
    <n v="0.72124600638977632"/>
    <n v="1.1539936102237247E-3"/>
    <x v="1"/>
  </r>
  <r>
    <x v="94"/>
    <x v="94"/>
    <n v="1.2"/>
    <s v="0.43%"/>
    <s v="$27,755,771"/>
    <s v="$747,728"/>
    <s v="23.03M"/>
    <n v="1.1948620930000995"/>
    <n v="5.1379069999004656E-3"/>
    <x v="1"/>
  </r>
  <r>
    <x v="95"/>
    <x v="95"/>
    <n v="3.1649999999999998E-2"/>
    <s v="0.00%"/>
    <s v="$27,627,348"/>
    <s v="N/A"/>
    <s v="872.68M"/>
    <n v="3.1649999999999998E-2"/>
    <n v="0"/>
    <x v="1"/>
  </r>
  <r>
    <x v="96"/>
    <x v="96"/>
    <n v="2.7550000000000002E-2"/>
    <s v="0.00%"/>
    <s v="$27,523,754"/>
    <s v="$517,282"/>
    <s v="998.92M"/>
    <n v="2.7550000000000002E-2"/>
    <n v="0"/>
    <x v="1"/>
  </r>
  <r>
    <x v="97"/>
    <x v="97"/>
    <n v="0.99970000000000003"/>
    <s v="0.00%"/>
    <s v="$27,488,408"/>
    <s v="$795"/>
    <s v="27.49M"/>
    <n v="0.99970000000000003"/>
    <n v="0"/>
    <x v="1"/>
  </r>
  <r>
    <x v="98"/>
    <x v="98"/>
    <n v="2.7699999999999999E-2"/>
    <s v="0.10%"/>
    <s v="$27,429,852"/>
    <s v="$335,896"/>
    <s v="990.08M"/>
    <n v="2.7672327672327673E-2"/>
    <n v="2.7672327672326191E-5"/>
    <x v="1"/>
  </r>
  <r>
    <x v="99"/>
    <x v="99"/>
    <n v="0.1278"/>
    <s v="1.40%"/>
    <s v="$27,369,787"/>
    <s v="$21,891,403"/>
    <s v="214.02M"/>
    <n v="0.12603550295857988"/>
    <n v="1.7644970414201211E-3"/>
    <x v="1"/>
  </r>
  <r>
    <x v="100"/>
    <x v="100"/>
    <n v="8.7080000000000002E-4"/>
    <s v="0.87%"/>
    <s v="$27,319,469"/>
    <s v="$1,830,097"/>
    <s v="31.37B"/>
    <n v="8.6328938237335189E-4"/>
    <n v="7.510617626648136E-6"/>
    <x v="1"/>
  </r>
  <r>
    <x v="101"/>
    <x v="101"/>
    <n v="65.61"/>
    <s v="0.52%"/>
    <s v="$27,270,904"/>
    <s v="$875,162"/>
    <s v="415.6K"/>
    <n v="65.27059291683247"/>
    <n v="0.33940708316752932"/>
    <x v="0"/>
  </r>
  <r>
    <x v="102"/>
    <x v="102"/>
    <n v="2.726E-2"/>
    <s v="2.14%"/>
    <s v="$27,189,900"/>
    <s v="$13,350,372"/>
    <s v="997.21M"/>
    <n v="2.6688858429606419E-2"/>
    <n v="5.7114157039358029E-4"/>
    <x v="1"/>
  </r>
  <r>
    <x v="103"/>
    <x v="103"/>
    <n v="2.5469999999999998E-3"/>
    <s v="0.04%"/>
    <s v="$27,118,205"/>
    <s v="$1,104,839"/>
    <s v="10.64B"/>
    <n v="2.5459816073570571E-3"/>
    <n v="1.0183926429426643E-6"/>
    <x v="1"/>
  </r>
  <r>
    <x v="104"/>
    <x v="104"/>
    <n v="295.72000000000003"/>
    <s v="0.00%"/>
    <s v="$27,036,164"/>
    <s v="$8,276"/>
    <s v="91.42K"/>
    <n v="295.72000000000003"/>
    <n v="0"/>
    <x v="0"/>
  </r>
  <r>
    <x v="105"/>
    <x v="105"/>
    <n v="0.47370000000000001"/>
    <s v="0.27%"/>
    <s v="$21,288,910"/>
    <s v="$3,537,872"/>
    <s v="44.93M"/>
    <n v="0.47242445397426952"/>
    <n v="1.2755460257304896E-3"/>
    <x v="1"/>
  </r>
  <r>
    <x v="106"/>
    <x v="106"/>
    <n v="1.47"/>
    <s v="0.73%"/>
    <s v="$21,183,785"/>
    <s v="$2,383,053"/>
    <s v="14.34M"/>
    <n v="1.459346768589298"/>
    <n v="1.0653231410701958E-2"/>
    <x v="1"/>
  </r>
  <r>
    <x v="107"/>
    <x v="107"/>
    <n v="3.5119999999999998E-2"/>
    <s v="0.86%"/>
    <s v="$21,051,661"/>
    <s v="$1,063,941"/>
    <s v="599.26M"/>
    <n v="3.4820543327384497E-2"/>
    <n v="2.9945667261550152E-4"/>
    <x v="1"/>
  </r>
  <r>
    <x v="108"/>
    <x v="108"/>
    <n v="8.2250000000000004E-2"/>
    <s v="0.17%"/>
    <s v="$21,028,312"/>
    <s v="$2,355,636"/>
    <s v="255.63M"/>
    <n v="8.2110412299091551E-2"/>
    <n v="1.3958770090845285E-4"/>
    <x v="1"/>
  </r>
  <r>
    <x v="109"/>
    <x v="109"/>
    <n v="0.15909999999999999"/>
    <s v="0.11%"/>
    <s v="$20,942,083"/>
    <s v="$1,755,539"/>
    <s v="131.59M"/>
    <n v="0.15892518229947056"/>
    <n v="1.7481770052943379E-4"/>
    <x v="1"/>
  </r>
  <r>
    <x v="110"/>
    <x v="110"/>
    <n v="2.639E-2"/>
    <s v="0.46%"/>
    <s v="$20,926,607"/>
    <s v="$1,923,605"/>
    <s v="792.71M"/>
    <n v="2.6269161855464865E-2"/>
    <n v="1.2083814453513544E-4"/>
    <x v="1"/>
  </r>
  <r>
    <x v="111"/>
    <x v="111"/>
    <n v="619.67999999999995"/>
    <s v="0.04%"/>
    <s v="$20,833,689"/>
    <s v="$301,856"/>
    <s v="33.61K"/>
    <n v="619.43222710915632"/>
    <n v="0.24777289084363474"/>
    <x v="0"/>
  </r>
  <r>
    <x v="112"/>
    <x v="112"/>
    <n v="6.2740000000000004E-2"/>
    <s v="0.02%"/>
    <s v="$20,792,425"/>
    <s v="$6,073,198"/>
    <s v="331.38M"/>
    <n v="6.2727454509098182E-2"/>
    <n v="1.2545490901821887E-5"/>
    <x v="1"/>
  </r>
  <r>
    <x v="113"/>
    <x v="113"/>
    <n v="8.4580000000000002E-2"/>
    <s v="0.03%"/>
    <s v="$20,783,563"/>
    <s v="$4,249,210"/>
    <s v="245.71M"/>
    <n v="8.4554633609917024E-2"/>
    <n v="2.5366390082978696E-5"/>
    <x v="1"/>
  </r>
  <r>
    <x v="114"/>
    <x v="114"/>
    <n v="0.32119999999999999"/>
    <s v="0.05%"/>
    <s v="$20,765,268"/>
    <s v="$12,916"/>
    <s v="64.63M"/>
    <n v="0.32103948025987006"/>
    <n v="1.6051974012992742E-4"/>
    <x v="1"/>
  </r>
  <r>
    <x v="115"/>
    <x v="115"/>
    <n v="5.9740000000000001E-2"/>
    <s v="1.05%"/>
    <s v="$20,742,584"/>
    <s v="$2,668,050"/>
    <s v="347.18M"/>
    <n v="5.911924789708066E-2"/>
    <n v="6.2075210291934191E-4"/>
    <x v="1"/>
  </r>
  <r>
    <x v="116"/>
    <x v="116"/>
    <n v="8.9990000000000001E-2"/>
    <s v="0.06%"/>
    <s v="$20,691,287"/>
    <s v="$208,497"/>
    <s v="229.91M"/>
    <n v="8.9936038376973823E-2"/>
    <n v="5.3961623026177463E-5"/>
    <x v="1"/>
  </r>
  <r>
    <x v="117"/>
    <x v="117"/>
    <n v="2.3359999999999999E-2"/>
    <s v="1.04%"/>
    <s v="$20,664,141"/>
    <s v="$3,496,040"/>
    <s v="884.42M"/>
    <n v="2.3119556611243073E-2"/>
    <n v="2.4044338875692586E-4"/>
    <x v="1"/>
  </r>
  <r>
    <x v="118"/>
    <x v="118"/>
    <n v="1.1209999999999999E-2"/>
    <s v="3.97%"/>
    <s v="$20,653,599"/>
    <s v="$4,005,780"/>
    <s v="1.84B"/>
    <n v="1.0781956333557757E-2"/>
    <n v="4.2804366644224288E-4"/>
    <x v="1"/>
  </r>
  <r>
    <x v="119"/>
    <x v="119"/>
    <n v="0.12540000000000001"/>
    <s v="0.26%"/>
    <s v="$20,601,570"/>
    <s v="$145,854,360"/>
    <s v="164.16M"/>
    <n v="0.12507480550568523"/>
    <n v="3.2519449431478442E-4"/>
    <x v="1"/>
  </r>
  <r>
    <x v="120"/>
    <x v="120"/>
    <n v="6.9569999999999996E-3"/>
    <s v="0.11%"/>
    <s v="$16,424,993"/>
    <s v="$1,358,758"/>
    <s v="2.36B"/>
    <n v="6.9493557087204061E-3"/>
    <n v="7.6442912795935541E-6"/>
    <x v="1"/>
  </r>
  <r>
    <x v="121"/>
    <x v="121"/>
    <n v="86.24"/>
    <s v="0.04%"/>
    <s v="$16,385,663"/>
    <s v="$320,378"/>
    <s v="189.97K"/>
    <n v="86.205517792882844"/>
    <n v="3.4482207117150665E-2"/>
    <x v="0"/>
  </r>
  <r>
    <x v="122"/>
    <x v="122"/>
    <n v="1.4120000000000001E-3"/>
    <s v="0.35%"/>
    <s v="$16,331,453"/>
    <s v="$3,739,115"/>
    <s v="11.56B"/>
    <n v="1.4070752366716491E-3"/>
    <n v="4.9247633283509493E-6"/>
    <x v="1"/>
  </r>
  <r>
    <x v="123"/>
    <x v="123"/>
    <n v="0.2422"/>
    <s v="0.08%"/>
    <s v="$16,227,020"/>
    <s v="$1,281"/>
    <s v="66.98M"/>
    <n v="0.24200639488409276"/>
    <n v="1.9360511590724161E-4"/>
    <x v="1"/>
  </r>
  <r>
    <x v="124"/>
    <x v="124"/>
    <n v="2.9180000000000001E-2"/>
    <s v="0.98%"/>
    <s v="$16,215,310"/>
    <s v="$2,062,193"/>
    <s v="555.54M"/>
    <n v="2.8896811249752425E-2"/>
    <n v="2.8318875024757606E-4"/>
    <x v="1"/>
  </r>
  <r>
    <x v="125"/>
    <x v="125"/>
    <n v="7.5259999999999997E-3"/>
    <s v="1.05%"/>
    <s v="$16,198,555"/>
    <s v="$1,758,366"/>
    <s v="2.15B"/>
    <n v="7.4477981197427013E-3"/>
    <n v="7.8201880257298441E-5"/>
    <x v="1"/>
  </r>
  <r>
    <x v="126"/>
    <x v="126"/>
    <n v="0.1037"/>
    <s v="0.53%"/>
    <s v="$16,192,876"/>
    <s v="$12,492,258"/>
    <s v="156.12M"/>
    <n v="0.103153287575848"/>
    <n v="5.4671242415199606E-4"/>
    <x v="1"/>
  </r>
  <r>
    <x v="127"/>
    <x v="127"/>
    <n v="3.8530000000000002E-2"/>
    <s v="0.79%"/>
    <s v="$16,064,356"/>
    <s v="$3,422,837"/>
    <s v="416.83M"/>
    <n v="3.8227998809405694E-2"/>
    <n v="3.0200119059430736E-4"/>
    <x v="1"/>
  </r>
  <r>
    <x v="128"/>
    <x v="128"/>
    <n v="1.99"/>
    <s v="9.59%"/>
    <s v="$15,954,600"/>
    <s v="$70,480,379"/>
    <s v="8.01M"/>
    <n v="1.8158591112327764"/>
    <n v="0.17414088876722356"/>
    <x v="1"/>
  </r>
  <r>
    <x v="129"/>
    <x v="129"/>
    <n v="1.8329999999999999E-2"/>
    <s v="0.69%"/>
    <s v="$15,950,372"/>
    <s v="$59,278"/>
    <s v="869.7M"/>
    <n v="1.820438971099414E-2"/>
    <n v="1.2561028900585913E-4"/>
    <x v="1"/>
  </r>
  <r>
    <x v="130"/>
    <x v="130"/>
    <n v="2.5229999999999999E-2"/>
    <s v="0.79%"/>
    <s v="$15,923,641"/>
    <s v="$1,014,645"/>
    <s v="630.89M"/>
    <n v="2.5032245262426825E-2"/>
    <n v="1.9775473757317405E-4"/>
    <x v="1"/>
  </r>
  <r>
    <x v="131"/>
    <x v="131"/>
    <n v="0.2051"/>
    <s v="0.44%"/>
    <s v="$15,920,691"/>
    <s v="$2,920,453"/>
    <s v="77.59M"/>
    <n v="0.2042015133412983"/>
    <n v="8.9848665870170819E-4"/>
    <x v="1"/>
  </r>
  <r>
    <x v="132"/>
    <x v="132"/>
    <n v="6.7450000000000001E-3"/>
    <s v="0.44%"/>
    <s v="$15,826,267"/>
    <s v="$1,644,731"/>
    <s v="2.34B"/>
    <n v="6.7154520111509363E-3"/>
    <n v="2.9547988849063823E-5"/>
    <x v="1"/>
  </r>
  <r>
    <x v="133"/>
    <x v="133"/>
    <n v="0.14760000000000001"/>
    <s v="0.12%"/>
    <s v="$15,812,322"/>
    <s v="$306,847"/>
    <s v="107.05M"/>
    <n v="0.1474230922892529"/>
    <n v="1.7690771074710399E-4"/>
    <x v="1"/>
  </r>
  <r>
    <x v="134"/>
    <x v="134"/>
    <n v="2.707E-5"/>
    <s v="0.23%"/>
    <s v="$15,724,357"/>
    <s v="$1,795,661"/>
    <s v="580.81B"/>
    <n v="2.7007881871695102E-5"/>
    <n v="6.2118128304898312E-8"/>
    <x v="1"/>
  </r>
  <r>
    <x v="135"/>
    <x v="135"/>
    <n v="6.1891000000000002E-2"/>
    <s v="0.21%"/>
    <s v="$13,134,119"/>
    <s v="$1,516,517"/>
    <s v="69.42T"/>
    <n v="6.1761301267338593E-2"/>
    <n v="1.2969873266140824E-4"/>
    <x v="1"/>
  </r>
  <r>
    <x v="136"/>
    <x v="136"/>
    <n v="0.13120000000000001"/>
    <s v="0.67%"/>
    <s v="$13,123,357"/>
    <s v="$145,988"/>
    <s v="100M"/>
    <n v="0.13032681037051755"/>
    <n v="8.7318962948246259E-4"/>
    <x v="1"/>
  </r>
  <r>
    <x v="137"/>
    <x v="137"/>
    <n v="6.9610000000000005E-2"/>
    <s v="0.05%"/>
    <s v="$13,070,849"/>
    <s v="$209,476"/>
    <s v="187.76M"/>
    <n v="6.9575212393803113E-2"/>
    <n v="3.4787606196892695E-5"/>
    <x v="1"/>
  </r>
  <r>
    <x v="138"/>
    <x v="138"/>
    <n v="2.1740000000000002E-3"/>
    <s v="0.02%"/>
    <s v="$13,047,966"/>
    <s v="$398,978"/>
    <s v="6B"/>
    <n v="2.1735652869426117E-3"/>
    <n v="4.3471305738842017E-7"/>
    <x v="1"/>
  </r>
  <r>
    <x v="139"/>
    <x v="139"/>
    <n v="0.77400000000000002"/>
    <s v="0.01%"/>
    <s v="$12,991,779"/>
    <s v="$168,599"/>
    <s v="16.78M"/>
    <n v="0.77392260773922605"/>
    <n v="7.7392260773967436E-5"/>
    <x v="1"/>
  </r>
  <r>
    <x v="140"/>
    <x v="140"/>
    <n v="0.29049999999999998"/>
    <s v="0.02%"/>
    <s v="$12,990,382"/>
    <s v="$10,235"/>
    <s v="44.7M"/>
    <n v="0.29044191161767646"/>
    <n v="5.8088382323517873E-5"/>
    <x v="1"/>
  </r>
  <r>
    <x v="141"/>
    <x v="141"/>
    <n v="8.0130000000000007E-2"/>
    <s v="1.76%"/>
    <s v="$12,956,897"/>
    <s v="$12,775,882"/>
    <s v="161.68M"/>
    <n v="7.8744103773584914E-2"/>
    <n v="1.3858962264150926E-3"/>
    <x v="1"/>
  </r>
  <r>
    <x v="142"/>
    <x v="142"/>
    <n v="1.15E-2"/>
    <s v="0.07%"/>
    <s v="$12,915,133"/>
    <s v="$14,942"/>
    <s v="1.12B"/>
    <n v="1.1491955631058259E-2"/>
    <n v="8.0443689417404596E-6"/>
    <x v="1"/>
  </r>
  <r>
    <x v="143"/>
    <x v="143"/>
    <n v="6.1139999999999996E-3"/>
    <s v="0.52%"/>
    <s v="$12,833,597"/>
    <s v="$72"/>
    <s v="2.09B"/>
    <n v="6.0823716673298837E-3"/>
    <n v="3.1628332670115972E-5"/>
    <x v="1"/>
  </r>
  <r>
    <x v="144"/>
    <x v="144"/>
    <n v="2.0479999999999999E-3"/>
    <s v="0.78%"/>
    <s v="$12,792,501"/>
    <s v="$3,233,342"/>
    <s v="6.24B"/>
    <n v="2.0321492359595158E-3"/>
    <n v="1.5850764040484071E-5"/>
    <x v="1"/>
  </r>
  <r>
    <x v="145"/>
    <x v="145"/>
    <n v="307.41000000000003"/>
    <s v="0.03%"/>
    <s v="$12,758,781"/>
    <s v="$294,571"/>
    <s v="41.5K"/>
    <n v="307.31780465860243"/>
    <n v="9.219534139759844E-2"/>
    <x v="0"/>
  </r>
  <r>
    <x v="146"/>
    <x v="146"/>
    <n v="4.9639999999999997E-2"/>
    <s v="1.79%"/>
    <s v="$12,748,368"/>
    <s v="$2,579,371"/>
    <s v="256.77M"/>
    <n v="4.8767069456724627E-2"/>
    <n v="8.7293054327537006E-4"/>
    <x v="1"/>
  </r>
  <r>
    <x v="147"/>
    <x v="147"/>
    <n v="9.8449999999999992E-4"/>
    <s v="0.00%"/>
    <s v="$12,536,278"/>
    <s v="N/A"/>
    <s v="12.73B"/>
    <n v="9.8449999999999992E-4"/>
    <n v="0"/>
    <x v="1"/>
  </r>
  <r>
    <x v="148"/>
    <x v="148"/>
    <n v="7.2978000000000001E-2"/>
    <s v="0.00%"/>
    <s v="$12,528,439"/>
    <s v="N/A"/>
    <s v="420.69T"/>
    <n v="7.2978000000000001E-2"/>
    <n v="0"/>
    <x v="1"/>
  </r>
  <r>
    <x v="149"/>
    <x v="149"/>
    <n v="0.41920000000000002"/>
    <s v="0.05%"/>
    <s v="$12,520,555"/>
    <s v="$11,382"/>
    <s v="29.86M"/>
    <n v="0.41899050474762622"/>
    <n v="2.0949525237379252E-4"/>
    <x v="1"/>
  </r>
  <r>
    <x v="150"/>
    <x v="150"/>
    <n v="1.026E-2"/>
    <s v="6.80%"/>
    <s v="$10,263,393"/>
    <s v="$3,725,662"/>
    <s v="999.92M"/>
    <n v="9.6067415730337075E-3"/>
    <n v="6.5325842696629249E-4"/>
    <x v="1"/>
  </r>
  <r>
    <x v="151"/>
    <x v="151"/>
    <n v="0.121"/>
    <s v="0.10%"/>
    <s v="$10,218,253"/>
    <s v="$24,050"/>
    <s v="84.37M"/>
    <n v="0.12087912087912089"/>
    <n v="1.2087912087910269E-4"/>
    <x v="1"/>
  </r>
  <r>
    <x v="152"/>
    <x v="152"/>
    <n v="2.62"/>
    <s v="0.70%"/>
    <s v="$10,209,935"/>
    <s v="$58,863"/>
    <s v="3.88M"/>
    <n v="2.601787487586892"/>
    <n v="1.8212512413108062E-2"/>
    <x v="1"/>
  </r>
  <r>
    <x v="153"/>
    <x v="153"/>
    <n v="2.7480000000000001E-2"/>
    <s v="0.07%"/>
    <s v="$10,181,572"/>
    <s v="$2,890,350"/>
    <s v="370.45M"/>
    <n v="2.7460777455780957E-2"/>
    <n v="1.9222544219044124E-5"/>
    <x v="1"/>
  </r>
  <r>
    <x v="154"/>
    <x v="154"/>
    <n v="0.1197"/>
    <s v="0.43%"/>
    <s v="$10,177,709"/>
    <s v="$1,745,887"/>
    <s v="84.98M"/>
    <n v="0.11918749377675994"/>
    <n v="5.1250622324006123E-4"/>
    <x v="1"/>
  </r>
  <r>
    <x v="155"/>
    <x v="155"/>
    <n v="3.5900000000000001E-2"/>
    <s v="0.11%"/>
    <s v="$10,176,763"/>
    <s v="$1,968,426"/>
    <s v="283.42M"/>
    <n v="3.5860553391269603E-2"/>
    <n v="3.9446608730397958E-5"/>
    <x v="1"/>
  </r>
  <r>
    <x v="156"/>
    <x v="156"/>
    <n v="1.4120000000000001E-3"/>
    <s v="0.17%"/>
    <s v="$10,154,660"/>
    <s v="$1,493,484"/>
    <s v="7.19B"/>
    <n v="1.4096036737546171E-3"/>
    <n v="2.3963262453829178E-6"/>
    <x v="1"/>
  </r>
  <r>
    <x v="157"/>
    <x v="157"/>
    <n v="0.1268"/>
    <s v="1.18%"/>
    <s v="$10,144,538"/>
    <s v="$5,375,471"/>
    <s v="80M"/>
    <n v="0.12532120972524213"/>
    <n v="1.478790274757863E-3"/>
    <x v="1"/>
  </r>
  <r>
    <x v="158"/>
    <x v="158"/>
    <n v="1.014E-2"/>
    <s v="0.50%"/>
    <s v="$10,134,613"/>
    <s v="$3,304,619"/>
    <s v="999.2M"/>
    <n v="1.0089552238805971E-2"/>
    <n v="5.0447761194028287E-5"/>
    <x v="1"/>
  </r>
  <r>
    <x v="159"/>
    <x v="159"/>
    <n v="2.2720000000000001E-2"/>
    <s v="0.14%"/>
    <s v="$10,134,565"/>
    <s v="$1,806,828"/>
    <s v="445.87M"/>
    <n v="2.2688236468943478E-2"/>
    <n v="3.1763531056522298E-5"/>
    <x v="1"/>
  </r>
  <r>
    <x v="160"/>
    <x v="160"/>
    <n v="1.1900000000000001E-2"/>
    <s v="0.88%"/>
    <s v="$10,130,034"/>
    <s v="$541,292"/>
    <s v="850.96M"/>
    <n v="1.1796193497224427E-2"/>
    <n v="1.0380650277557434E-4"/>
    <x v="1"/>
  </r>
  <r>
    <x v="161"/>
    <x v="161"/>
    <n v="0.1114"/>
    <s v="0.07%"/>
    <s v="$10,120,696"/>
    <s v="$7,551"/>
    <s v="90.79M"/>
    <n v="0.11132207454781654"/>
    <n v="7.7925452183463806E-5"/>
    <x v="1"/>
  </r>
  <r>
    <x v="162"/>
    <x v="162"/>
    <n v="96.87"/>
    <s v="0.00%"/>
    <s v="$10,092,193"/>
    <s v="N/A"/>
    <s v="104.17K"/>
    <n v="96.87"/>
    <n v="0"/>
    <x v="0"/>
  </r>
  <r>
    <x v="163"/>
    <x v="163"/>
    <n v="4354.6000000000004"/>
    <s v="0.39%"/>
    <s v="$10,087,488"/>
    <s v="$95,760"/>
    <s v="2.31K"/>
    <n v="4337.68303615898"/>
    <n v="16.916963841020333"/>
    <x v="0"/>
  </r>
  <r>
    <x v="164"/>
    <x v="164"/>
    <n v="1.01E-3"/>
    <s v="0.18%"/>
    <s v="$10,100,897"/>
    <s v="$398,895"/>
    <s v="10B"/>
    <n v="1.0081852665202635E-3"/>
    <n v="1.814733479736522E-6"/>
    <x v="1"/>
  </r>
  <r>
    <x v="165"/>
    <x v="165"/>
    <n v="1.1349999999999999E-3"/>
    <s v="0.21%"/>
    <s v="$8,122,293"/>
    <s v="$2,571,910"/>
    <s v="7.15B"/>
    <n v="1.1326214948607922E-3"/>
    <n v="2.3785051392077351E-6"/>
    <x v="1"/>
  </r>
  <r>
    <x v="166"/>
    <x v="166"/>
    <n v="0.2031"/>
    <s v="0.04%"/>
    <s v="$8,105,168"/>
    <s v="$197,847"/>
    <s v="39.9M"/>
    <n v="0.2030187924830068"/>
    <n v="8.1207516993198059E-5"/>
    <x v="1"/>
  </r>
  <r>
    <x v="167"/>
    <x v="167"/>
    <n v="5.05"/>
    <s v="0.00%"/>
    <s v="$8,086,725"/>
    <s v="$2,041,502"/>
    <s v="1.6M"/>
    <n v="5.05"/>
    <n v="0"/>
    <x v="1"/>
  </r>
  <r>
    <x v="168"/>
    <x v="168"/>
    <n v="13.89"/>
    <s v="0.01%"/>
    <s v="$8,086,075"/>
    <s v="$81,528"/>
    <s v="581.88K"/>
    <n v="13.888611138886112"/>
    <n v="1.3888611138881402E-3"/>
    <x v="0"/>
  </r>
  <r>
    <x v="169"/>
    <x v="169"/>
    <n v="2.4309999999999998E-2"/>
    <s v="0.33%"/>
    <s v="$8,072,787"/>
    <s v="$1,922,221"/>
    <s v="331.98M"/>
    <n v="2.4230040865145019E-2"/>
    <n v="7.9959134854978853E-5"/>
    <x v="1"/>
  </r>
  <r>
    <x v="170"/>
    <x v="170"/>
    <n v="9.9540000000000003E-2"/>
    <s v="0.10%"/>
    <s v="$8,024,621"/>
    <s v="$222,727"/>
    <s v="80.61M"/>
    <n v="9.9440559440559462E-2"/>
    <n v="9.9440559440541754E-5"/>
    <x v="1"/>
  </r>
  <r>
    <x v="171"/>
    <x v="171"/>
    <n v="11.3"/>
    <s v="0.19%"/>
    <s v="$7,986,894"/>
    <s v="$1,293"/>
    <s v="706.33K"/>
    <n v="11.278570715640283"/>
    <n v="2.1429284359717471E-2"/>
    <x v="0"/>
  </r>
  <r>
    <x v="172"/>
    <x v="172"/>
    <n v="1.4080000000000001E-2"/>
    <s v="0.05%"/>
    <s v="$7,979,231"/>
    <s v="$2,089,834"/>
    <s v="566.34M"/>
    <n v="1.4072963518240882E-2"/>
    <n v="7.0364817591189038E-6"/>
    <x v="1"/>
  </r>
  <r>
    <x v="173"/>
    <x v="173"/>
    <n v="0.99909999999999999"/>
    <s v="0.02%"/>
    <s v="$7,973,287"/>
    <s v="$3,377,869"/>
    <s v="7.98M"/>
    <n v="0.99890021995600886"/>
    <n v="1.9978004399112681E-4"/>
    <x v="1"/>
  </r>
  <r>
    <x v="174"/>
    <x v="174"/>
    <n v="1.328E-2"/>
    <s v="4.76%"/>
    <s v="$7,967,451"/>
    <s v="$1,560,930"/>
    <s v="599.62M"/>
    <n v="1.2676594119893088E-2"/>
    <n v="6.0340588010691226E-4"/>
    <x v="1"/>
  </r>
  <r>
    <x v="175"/>
    <x v="175"/>
    <n v="9.1570000000000002E-3"/>
    <s v="0.11%"/>
    <s v="$7,953,928"/>
    <s v="$7,410"/>
    <s v="868.56M"/>
    <n v="9.1469383677954246E-3"/>
    <n v="1.0061632204575593E-5"/>
    <x v="1"/>
  </r>
  <r>
    <x v="176"/>
    <x v="176"/>
    <n v="0.23469999999999999"/>
    <s v="0.07%"/>
    <s v="$7,940,136"/>
    <s v="$3,179"/>
    <s v="33.82M"/>
    <n v="0.23453582492255423"/>
    <n v="1.6417507744576065E-4"/>
    <x v="1"/>
  </r>
  <r>
    <x v="177"/>
    <x v="177"/>
    <n v="8.1759999999999992E-3"/>
    <s v="4.00%"/>
    <s v="$7,939,043"/>
    <s v="$4,301,672"/>
    <s v="970.98M"/>
    <n v="7.8615384615384597E-3"/>
    <n v="3.144615384615395E-4"/>
    <x v="1"/>
  </r>
  <r>
    <x v="178"/>
    <x v="178"/>
    <n v="0.25650000000000001"/>
    <s v="0.71%"/>
    <s v="$7,928,209"/>
    <s v="N/A"/>
    <s v="30.9M"/>
    <n v="0.2546916890080429"/>
    <n v="1.8083109919571072E-3"/>
    <x v="1"/>
  </r>
  <r>
    <x v="179"/>
    <x v="179"/>
    <n v="8.4569999999999992E-3"/>
    <s v="0.35%"/>
    <s v="$7,914,890"/>
    <s v="$77,409"/>
    <s v="935.81M"/>
    <n v="8.4275037369207755E-3"/>
    <n v="2.949626307922372E-5"/>
    <x v="1"/>
  </r>
  <r>
    <x v="180"/>
    <x v="180"/>
    <n v="8.5050000000000002E-4"/>
    <s v="0.27%"/>
    <s v="$6,272,861"/>
    <s v="$273,867"/>
    <s v="7.37B"/>
    <n v="8.4820983344968594E-4"/>
    <n v="2.2901665503140744E-6"/>
    <x v="1"/>
  </r>
  <r>
    <x v="181"/>
    <x v="181"/>
    <n v="7.9050000000000006E-3"/>
    <s v="0.04%"/>
    <s v="$6,265,404"/>
    <s v="$2,426"/>
    <s v="792.55M"/>
    <n v="7.9018392642942834E-3"/>
    <n v="3.1607357057171492E-6"/>
    <x v="1"/>
  </r>
  <r>
    <x v="182"/>
    <x v="182"/>
    <n v="7.1488999999999997E-2"/>
    <s v="0.61%"/>
    <s v="$6,254,137"/>
    <s v="$212,197"/>
    <s v="420T"/>
    <n v="7.1055561077427692E-2"/>
    <n v="4.3343892257230454E-4"/>
    <x v="1"/>
  </r>
  <r>
    <x v="183"/>
    <x v="183"/>
    <n v="4.2189999999999998E-2"/>
    <s v="0.95%"/>
    <s v="$6,251,681"/>
    <s v="$1,825,074"/>
    <s v="148.16M"/>
    <n v="4.1792966815255073E-2"/>
    <n v="3.9703318474492572E-4"/>
    <x v="1"/>
  </r>
  <r>
    <x v="184"/>
    <x v="184"/>
    <n v="4.4409999999999998E-2"/>
    <s v="0.17%"/>
    <s v="$6,230,699"/>
    <s v="$1,228,669"/>
    <s v="140.28M"/>
    <n v="4.4334631127083954E-2"/>
    <n v="7.5368872916044272E-5"/>
    <x v="1"/>
  </r>
  <r>
    <x v="185"/>
    <x v="185"/>
    <n v="0.1143"/>
    <s v="0.25%"/>
    <s v="$6,216,056"/>
    <s v="$3,022"/>
    <s v="54.37M"/>
    <n v="0.11401496259351622"/>
    <n v="2.8503740648377907E-4"/>
    <x v="1"/>
  </r>
  <r>
    <x v="186"/>
    <x v="186"/>
    <n v="6.4070000000000002E-4"/>
    <s v="0.01%"/>
    <s v="$6,207,938"/>
    <s v="$40,938"/>
    <s v="9.68B"/>
    <n v="6.4063593640635943E-4"/>
    <n v="6.4063593640585094E-8"/>
    <x v="1"/>
  </r>
  <r>
    <x v="187"/>
    <x v="187"/>
    <n v="6.5680000000000001E-3"/>
    <s v="0.26%"/>
    <s v="$6,205,613"/>
    <s v="$247,193"/>
    <s v="944.7M"/>
    <n v="6.5509674845401957E-3"/>
    <n v="1.7032515459804339E-5"/>
    <x v="1"/>
  </r>
  <r>
    <x v="188"/>
    <x v="188"/>
    <n v="6.1609999999999998E-3"/>
    <s v="0.64%"/>
    <s v="$6,161,025"/>
    <s v="$524,306"/>
    <s v="999.97M"/>
    <n v="6.1218203497615262E-3"/>
    <n v="3.9179650238473605E-5"/>
    <x v="1"/>
  </r>
  <r>
    <x v="189"/>
    <x v="189"/>
    <n v="0.25769999999999998"/>
    <s v="0.00%"/>
    <s v="$6,160,387"/>
    <s v="N/A"/>
    <s v="23.89M"/>
    <n v="0.25769999999999998"/>
    <n v="0"/>
    <x v="1"/>
  </r>
  <r>
    <x v="190"/>
    <x v="190"/>
    <n v="6.1289999999999999E-4"/>
    <s v="0.05%"/>
    <s v="$6,129,073"/>
    <s v="$2,807,172"/>
    <s v="10B"/>
    <n v="6.125937031484258E-4"/>
    <n v="3.0629685157418547E-7"/>
    <x v="1"/>
  </r>
  <r>
    <x v="191"/>
    <x v="191"/>
    <n v="8.1559999999999994E-2"/>
    <s v="0.69%"/>
    <s v="$6,127,767"/>
    <s v="$91,514"/>
    <s v="75.12M"/>
    <n v="8.100109246201212E-2"/>
    <n v="5.5890753798787385E-4"/>
    <x v="1"/>
  </r>
  <r>
    <x v="192"/>
    <x v="192"/>
    <n v="0.31659999999999999"/>
    <s v="0.01%"/>
    <s v="$6,115,705"/>
    <s v="$102,283"/>
    <s v="19.31M"/>
    <n v="0.31656834316568344"/>
    <n v="3.1656834316551308E-5"/>
    <x v="1"/>
  </r>
  <r>
    <x v="193"/>
    <x v="193"/>
    <n v="1.6509999999999999E-3"/>
    <s v="0.36%"/>
    <s v="$6,114,215"/>
    <s v="$87,536"/>
    <s v="3.7B"/>
    <n v="1.6450777202072536E-3"/>
    <n v="5.9222797927462652E-6"/>
    <x v="1"/>
  </r>
  <r>
    <x v="194"/>
    <x v="194"/>
    <n v="6.1029999999999999E-3"/>
    <s v="0.09%"/>
    <s v="$6,103,902"/>
    <s v="$27,657"/>
    <s v="1B"/>
    <n v="6.0975122389849137E-3"/>
    <n v="5.4877610150862177E-6"/>
    <x v="1"/>
  </r>
  <r>
    <x v="195"/>
    <x v="195"/>
    <n v="1.7899999999999999E-3"/>
    <s v="0.01%"/>
    <s v="$4,972,149"/>
    <s v="$12,701"/>
    <s v="2.77B"/>
    <n v="1.7898210178982101E-3"/>
    <n v="1.7898210178985026E-7"/>
    <x v="1"/>
  </r>
  <r>
    <x v="196"/>
    <x v="196"/>
    <n v="5.1570000000000001E-3"/>
    <s v="0.23%"/>
    <s v="$4,956,333"/>
    <s v="$295,321"/>
    <s v="961M"/>
    <n v="5.1451661179287645E-3"/>
    <n v="1.1833882071235653E-5"/>
    <x v="1"/>
  </r>
  <r>
    <x v="197"/>
    <x v="197"/>
    <n v="2.6949999999999999E-4"/>
    <s v="0.79%"/>
    <s v="$4,939,957"/>
    <s v="$126,269"/>
    <s v="18.32B"/>
    <n v="2.6738763766246651E-4"/>
    <n v="2.1123623375334812E-6"/>
    <x v="1"/>
  </r>
  <r>
    <x v="198"/>
    <x v="198"/>
    <n v="1.013E-2"/>
    <s v="0.03%"/>
    <s v="$4,925,795"/>
    <s v="$361,696"/>
    <s v="486.2M"/>
    <n v="1.0126961911426572E-2"/>
    <n v="3.0380885734284518E-6"/>
    <x v="1"/>
  </r>
  <r>
    <x v="199"/>
    <x v="199"/>
    <n v="5.287E-2"/>
    <s v="0.25%"/>
    <s v="$4,925,368"/>
    <s v="$442,896"/>
    <s v="93.14M"/>
    <n v="5.2738154613466336E-2"/>
    <n v="1.3184538653366468E-4"/>
    <x v="1"/>
  </r>
  <r>
    <x v="200"/>
    <x v="200"/>
    <n v="2.0990000000000002E-2"/>
    <s v="0.04%"/>
    <s v="$4,922,842"/>
    <s v="$278,183"/>
    <s v="234.52M"/>
    <n v="2.0981607357057178E-2"/>
    <n v="8.3926429428234084E-6"/>
    <x v="1"/>
  </r>
  <r>
    <x v="201"/>
    <x v="201"/>
    <n v="2.4240000000000001E-4"/>
    <s v="0.01%"/>
    <s v="$4,911,058"/>
    <s v="$487"/>
    <s v="20.25B"/>
    <n v="2.4237576242375764E-4"/>
    <n v="2.4237576242368795E-8"/>
    <x v="1"/>
  </r>
  <r>
    <x v="202"/>
    <x v="202"/>
    <n v="4.8919999999999996E-3"/>
    <s v="0.40%"/>
    <s v="$4,892,467"/>
    <s v="$854,807"/>
    <s v="1B"/>
    <n v="4.8725099601593623E-3"/>
    <n v="1.9490039840637345E-5"/>
    <x v="1"/>
  </r>
  <r>
    <x v="203"/>
    <x v="203"/>
    <n v="0.38540000000000002"/>
    <s v="1.64%"/>
    <s v="$4,877,738"/>
    <s v="$215,789"/>
    <s v="12.65M"/>
    <n v="0.3791814246359701"/>
    <n v="6.2185753640299213E-3"/>
    <x v="1"/>
  </r>
  <r>
    <x v="204"/>
    <x v="204"/>
    <n v="7.8514E-2"/>
    <s v="1.13%"/>
    <s v="$4,876,749"/>
    <s v="$375,201"/>
    <s v="57.27T"/>
    <n v="7.7636705230890932E-2"/>
    <n v="8.7729476910906878E-4"/>
    <x v="1"/>
  </r>
  <r>
    <x v="205"/>
    <x v="205"/>
    <n v="4.8719999999999996E-3"/>
    <s v="0.05%"/>
    <s v="$4,872,450"/>
    <s v="$1,280,155"/>
    <s v="999.97M"/>
    <n v="4.8695652173913039E-3"/>
    <n v="2.4347826086956736E-6"/>
    <x v="1"/>
  </r>
  <r>
    <x v="206"/>
    <x v="206"/>
    <n v="0.31380000000000002"/>
    <s v="0.62%"/>
    <s v="$4,852,783"/>
    <s v="$100,481"/>
    <s v="15.45M"/>
    <n v="0.31186642814549792"/>
    <n v="1.933571854502103E-3"/>
    <x v="1"/>
  </r>
  <r>
    <x v="207"/>
    <x v="207"/>
    <n v="9.76"/>
    <s v="1.11%"/>
    <s v="$4,850,979"/>
    <s v="$402,549"/>
    <s v="496.54K"/>
    <n v="9.6528533280585496"/>
    <n v="0.10714667194145022"/>
    <x v="1"/>
  </r>
  <r>
    <x v="208"/>
    <x v="208"/>
    <n v="2.1340000000000001E-2"/>
    <s v="1.02%"/>
    <s v="$4,842,635"/>
    <s v="$2,328,961"/>
    <s v="226.87M"/>
    <n v="2.1124529796079986E-2"/>
    <n v="2.1547020392001515E-4"/>
    <x v="1"/>
  </r>
  <r>
    <x v="209"/>
    <x v="209"/>
    <n v="1.6209999999999999E-2"/>
    <s v="0.38%"/>
    <s v="$4,836,273"/>
    <s v="$121,289"/>
    <s v="298.25M"/>
    <n v="1.6148635186292087E-2"/>
    <n v="6.1364813707911331E-5"/>
    <x v="1"/>
  </r>
  <r>
    <x v="210"/>
    <x v="210"/>
    <n v="8.0429999999999998E-4"/>
    <s v="0.01%"/>
    <s v="$4,098,858"/>
    <s v="$51,766"/>
    <s v="5.09B"/>
    <n v="8.0421957804219582E-4"/>
    <n v="8.0421957804159561E-8"/>
    <x v="1"/>
  </r>
  <r>
    <x v="211"/>
    <x v="211"/>
    <n v="0.47410000000000002"/>
    <s v="1.24%"/>
    <s v="$4,092,301"/>
    <s v="$498,045"/>
    <s v="8.62M"/>
    <n v="0.46829316475701305"/>
    <n v="5.8068352429869741E-3"/>
    <x v="1"/>
  </r>
  <r>
    <x v="212"/>
    <x v="212"/>
    <n v="0.40710000000000002"/>
    <s v="0.04%"/>
    <s v="$4,071,360"/>
    <s v="$58,006"/>
    <s v="9.99M"/>
    <n v="0.40693722510995606"/>
    <n v="1.6277489004395962E-4"/>
    <x v="1"/>
  </r>
  <r>
    <x v="213"/>
    <x v="213"/>
    <n v="1"/>
    <s v="0.05%"/>
    <s v="$4,059,423"/>
    <s v="$993,206"/>
    <s v="4.05M"/>
    <n v="0.99950024987506247"/>
    <n v="4.997501249375258E-4"/>
    <x v="1"/>
  </r>
  <r>
    <x v="214"/>
    <x v="214"/>
    <n v="8.4569999999999992E-3"/>
    <s v="1.04%"/>
    <s v="$4,056,290"/>
    <s v="$452,151"/>
    <s v="479.62M"/>
    <n v="8.3699524940617567E-3"/>
    <n v="8.7047505938242509E-5"/>
    <x v="1"/>
  </r>
  <r>
    <x v="215"/>
    <x v="215"/>
    <n v="0.20180000000000001"/>
    <s v="1.71%"/>
    <s v="$4,044,070"/>
    <s v="$86,399"/>
    <s v="20.03M"/>
    <n v="0.19840723625995479"/>
    <n v="3.3927637400452126E-3"/>
    <x v="1"/>
  </r>
  <r>
    <x v="216"/>
    <x v="216"/>
    <n v="1.206E-2"/>
    <s v="0.82%"/>
    <s v="$4,032,882"/>
    <s v="$2,124,270"/>
    <s v="334.17M"/>
    <n v="1.1961912318984328E-2"/>
    <n v="9.8087681015671113E-5"/>
    <x v="1"/>
  </r>
  <r>
    <x v="217"/>
    <x v="217"/>
    <n v="7.1764999999999995E-2"/>
    <s v="0.01%"/>
    <s v="$4,025,739"/>
    <s v="$299,678"/>
    <s v="227.99T"/>
    <n v="7.1757824217578245E-2"/>
    <n v="7.1757824217505428E-6"/>
    <x v="1"/>
  </r>
  <r>
    <x v="218"/>
    <x v="218"/>
    <n v="8.9389999999999999E-4"/>
    <s v="0.03%"/>
    <s v="$4,013,522"/>
    <s v="$412,636"/>
    <s v="4.48B"/>
    <n v="8.93631910426872E-4"/>
    <n v="2.6808957312798604E-7"/>
    <x v="1"/>
  </r>
  <r>
    <x v="219"/>
    <x v="219"/>
    <n v="4.5539999999999999E-3"/>
    <s v="0.01%"/>
    <s v="$4,002,278"/>
    <s v="$1,088,864"/>
    <s v="878.82M"/>
    <n v="4.5535446455354468E-3"/>
    <n v="4.5535446455309547E-7"/>
    <x v="1"/>
  </r>
  <r>
    <x v="220"/>
    <x v="220"/>
    <n v="8.3799999999999999E-4"/>
    <s v="0.11%"/>
    <s v="$4,001,721"/>
    <s v="$8,904"/>
    <s v="4.77B"/>
    <n v="8.3707921286584747E-4"/>
    <n v="9.2078713415251999E-7"/>
    <x v="1"/>
  </r>
  <r>
    <x v="221"/>
    <x v="221"/>
    <n v="1.4109999999999999E-2"/>
    <s v="0.00%"/>
    <s v="$3,995,184"/>
    <s v="N/A"/>
    <s v="283.1M"/>
    <n v="1.4109999999999999E-2"/>
    <n v="0"/>
    <x v="1"/>
  </r>
  <r>
    <x v="222"/>
    <x v="222"/>
    <n v="6.5129999999999993E-2"/>
    <s v="0.01%"/>
    <s v="$3,991,078"/>
    <s v="$1,801,552"/>
    <s v="61.27M"/>
    <n v="6.5123487651234865E-2"/>
    <n v="6.5123487651280731E-6"/>
    <x v="1"/>
  </r>
  <r>
    <x v="223"/>
    <x v="223"/>
    <n v="6.3566999999999999E-2"/>
    <s v="0.36%"/>
    <s v="$3,988,311"/>
    <s v="$154,139"/>
    <s v="11.17T"/>
    <n v="6.333897967317656E-2"/>
    <n v="2.2802032682343876E-4"/>
    <x v="1"/>
  </r>
  <r>
    <x v="224"/>
    <x v="224"/>
    <n v="136.32"/>
    <s v="0.04%"/>
    <s v="$3,967,175"/>
    <s v="$65,166"/>
    <s v="29.1K"/>
    <n v="136.265493802479"/>
    <n v="5.4506197520993283E-2"/>
    <x v="0"/>
  </r>
  <r>
    <x v="225"/>
    <x v="225"/>
    <n v="3.1900000000000001E-3"/>
    <s v="0.99%"/>
    <s v="$3,190,030"/>
    <s v="$129,109"/>
    <s v="1B"/>
    <n v="3.1587285869888108E-3"/>
    <n v="3.1271413011189301E-5"/>
    <x v="1"/>
  </r>
  <r>
    <x v="226"/>
    <x v="226"/>
    <n v="1.0640000000000001E-3"/>
    <s v="0.18%"/>
    <s v="$3,187,133"/>
    <s v="$82,112"/>
    <s v="2.99B"/>
    <n v="1.0620882411659014E-3"/>
    <n v="1.9117588340986959E-6"/>
    <x v="1"/>
  </r>
  <r>
    <x v="227"/>
    <x v="227"/>
    <n v="6.3759999999999997E-3"/>
    <s v="0.94%"/>
    <s v="$3,186,414"/>
    <s v="$222,576"/>
    <s v="499.71M"/>
    <n v="6.3166237368733891E-3"/>
    <n v="5.9376263126610651E-5"/>
    <x v="1"/>
  </r>
  <r>
    <x v="228"/>
    <x v="9"/>
    <n v="3.2520000000000001E-3"/>
    <s v="0.06%"/>
    <s v="$3,184,110"/>
    <s v="$1,041,133"/>
    <s v="979.12M"/>
    <n v="3.2500499700179896E-3"/>
    <n v="1.9500299820104927E-6"/>
    <x v="1"/>
  </r>
  <r>
    <x v="229"/>
    <x v="228"/>
    <n v="3.918E-2"/>
    <s v="0.63%"/>
    <s v="$3,170,980"/>
    <s v="$364,959"/>
    <s v="80.91M"/>
    <n v="3.8934711318692236E-2"/>
    <n v="2.4528868130776343E-4"/>
    <x v="1"/>
  </r>
  <r>
    <x v="230"/>
    <x v="229"/>
    <n v="2.5149999999999999E-3"/>
    <s v="0.64%"/>
    <s v="$3,169,190"/>
    <s v="$333,463"/>
    <s v="1.26B"/>
    <n v="2.4990063593004768E-3"/>
    <n v="1.599364069952312E-5"/>
    <x v="1"/>
  </r>
  <r>
    <x v="231"/>
    <x v="230"/>
    <n v="6.3727000000000006E-2"/>
    <s v="0.70%"/>
    <s v="$3,168,439"/>
    <s v="$189,452"/>
    <s v="8.5T"/>
    <n v="6.3284011916583921E-2"/>
    <n v="4.4298808341608487E-4"/>
    <x v="1"/>
  </r>
  <r>
    <x v="232"/>
    <x v="231"/>
    <n v="0.1105"/>
    <s v="3.00%"/>
    <s v="$3,161,989"/>
    <s v="$619,781"/>
    <s v="28.59M"/>
    <n v="0.10728155339805825"/>
    <n v="3.2184466019417463E-3"/>
    <x v="1"/>
  </r>
  <r>
    <x v="233"/>
    <x v="232"/>
    <n v="3.1609999999999999E-2"/>
    <s v="0.12%"/>
    <s v="$3,161,988"/>
    <s v="$70,474"/>
    <s v="100M"/>
    <n v="3.1572113463843386E-2"/>
    <n v="3.7886536156613027E-5"/>
    <x v="1"/>
  </r>
  <r>
    <x v="234"/>
    <x v="233"/>
    <n v="1.5720000000000001E-2"/>
    <s v="0.53%"/>
    <s v="$3,145,553"/>
    <s v="$3,337,405"/>
    <s v="200M"/>
    <n v="1.5637123246792003E-2"/>
    <n v="8.2876753207998533E-5"/>
    <x v="1"/>
  </r>
  <r>
    <x v="235"/>
    <x v="234"/>
    <n v="4.975E-4"/>
    <s v="0.18%"/>
    <s v="$3,144,141"/>
    <s v="$322,501"/>
    <s v="6.31B"/>
    <n v="4.9660610900379321E-4"/>
    <n v="8.9389099620679376E-7"/>
    <x v="1"/>
  </r>
  <r>
    <x v="236"/>
    <x v="235"/>
    <n v="7.894E-4"/>
    <s v="2.51%"/>
    <s v="$3,136,583"/>
    <s v="$211,641"/>
    <s v="3.97B"/>
    <n v="7.7007121256462789E-4"/>
    <n v="1.9328787435372104E-5"/>
    <x v="1"/>
  </r>
  <r>
    <x v="237"/>
    <x v="236"/>
    <n v="3.1489999999999999E-3"/>
    <s v="0.36%"/>
    <s v="$3,128,134"/>
    <s v="$29,337"/>
    <s v="993.34M"/>
    <n v="3.1377042646472697E-3"/>
    <n v="1.1295735352730239E-5"/>
    <x v="1"/>
  </r>
  <r>
    <x v="238"/>
    <x v="237"/>
    <n v="6.3820000000000002E-2"/>
    <s v="0.22%"/>
    <s v="$3,113,946"/>
    <s v="$63,368"/>
    <s v="48.79M"/>
    <n v="6.3679904210736382E-2"/>
    <n v="1.4009578926361954E-4"/>
    <x v="1"/>
  </r>
  <r>
    <x v="239"/>
    <x v="238"/>
    <n v="3.8E-3"/>
    <s v="0.00%"/>
    <s v="$3,112,337"/>
    <s v="$46,064"/>
    <s v="818.88M"/>
    <n v="3.8E-3"/>
    <n v="0"/>
    <x v="1"/>
  </r>
  <r>
    <x v="240"/>
    <x v="239"/>
    <n v="3.4120000000000001E-3"/>
    <s v="0.31%"/>
    <s v="$2,624,600"/>
    <s v="$272,948"/>
    <s v="769.06M"/>
    <n v="3.4014554879872394E-3"/>
    <n v="1.0544512012760666E-5"/>
    <x v="1"/>
  </r>
  <r>
    <x v="241"/>
    <x v="240"/>
    <n v="145.96"/>
    <s v="0.22%"/>
    <s v="$2,618,272"/>
    <s v="$32,169"/>
    <s v="17.93K"/>
    <n v="145.63959289562962"/>
    <n v="0.32040710437038911"/>
    <x v="0"/>
  </r>
  <r>
    <x v="242"/>
    <x v="241"/>
    <n v="0.27050000000000002"/>
    <s v="0.42%"/>
    <s v="$2,616,371"/>
    <s v="$548,295"/>
    <s v="9.67M"/>
    <n v="0.26936865166301538"/>
    <n v="1.1313483369846389E-3"/>
    <x v="1"/>
  </r>
  <r>
    <x v="243"/>
    <x v="242"/>
    <n v="5.7320000000000003E-2"/>
    <s v="0.00%"/>
    <s v="$2,608,856"/>
    <s v="N/A"/>
    <s v="45.51M"/>
    <n v="5.7320000000000003E-2"/>
    <n v="0"/>
    <x v="1"/>
  </r>
  <r>
    <x v="244"/>
    <x v="243"/>
    <n v="0.27979999999999999"/>
    <s v="0.01%"/>
    <s v="$2,599,223"/>
    <s v="$111"/>
    <s v="9.28M"/>
    <n v="0.27977202279772023"/>
    <n v="2.797720227976086E-5"/>
    <x v="1"/>
  </r>
  <r>
    <x v="245"/>
    <x v="244"/>
    <n v="4.3049999999999998E-3"/>
    <s v="0.19%"/>
    <s v="$2,599,402"/>
    <s v="$292,160"/>
    <s v="603.77M"/>
    <n v="4.2968360115780016E-3"/>
    <n v="8.1639884219981626E-6"/>
    <x v="1"/>
  </r>
  <r>
    <x v="246"/>
    <x v="245"/>
    <n v="1.702E-3"/>
    <s v="0.77%"/>
    <s v="$2,598,336"/>
    <s v="$419,073"/>
    <s v="1.52B"/>
    <n v="1.688994740498164E-3"/>
    <n v="1.3005259501835996E-5"/>
    <x v="1"/>
  </r>
  <r>
    <x v="247"/>
    <x v="246"/>
    <n v="2.5929999999999998E-3"/>
    <s v="0.57%"/>
    <s v="$2,593,788"/>
    <s v="$1,931,857"/>
    <s v="1B"/>
    <n v="2.5783036690862084E-3"/>
    <n v="1.4696330913791401E-5"/>
    <x v="1"/>
  </r>
  <r>
    <x v="248"/>
    <x v="247"/>
    <n v="486.67"/>
    <s v="0.01%"/>
    <s v="$2,593,163"/>
    <s v="$220,815"/>
    <s v="5.32K"/>
    <n v="486.62133786621342"/>
    <n v="4.8662133786592676E-2"/>
    <x v="0"/>
  </r>
  <r>
    <x v="249"/>
    <x v="248"/>
    <n v="3.9810000000000002E-3"/>
    <s v="0.22%"/>
    <s v="$2,591,059"/>
    <s v="$120,482"/>
    <s v="650.81M"/>
    <n v="3.9722610257433653E-3"/>
    <n v="8.7389742566348905E-6"/>
    <x v="1"/>
  </r>
  <r>
    <x v="250"/>
    <x v="249"/>
    <n v="2.5720000000000001E-3"/>
    <s v="0.73%"/>
    <s v="$2,572,928"/>
    <s v="$223,938"/>
    <s v="999.99M"/>
    <n v="2.5533604685793704E-3"/>
    <n v="1.8639531420629706E-5"/>
    <x v="1"/>
  </r>
  <r>
    <x v="251"/>
    <x v="250"/>
    <n v="3.7050000000000001E-4"/>
    <s v="0.02%"/>
    <s v="$2,571,470"/>
    <s v="$77,851"/>
    <s v="6.93B"/>
    <n v="3.704259148170366E-4"/>
    <n v="7.4085182963411558E-8"/>
    <x v="1"/>
  </r>
  <r>
    <x v="252"/>
    <x v="251"/>
    <n v="2.5690000000000001E-3"/>
    <s v="0.09%"/>
    <s v="$2,569,001"/>
    <s v="$3,446"/>
    <s v="1B"/>
    <n v="2.5666899790188834E-3"/>
    <n v="2.3100209811167428E-6"/>
    <x v="1"/>
  </r>
  <r>
    <x v="253"/>
    <x v="252"/>
    <n v="3.2620000000000001E-3"/>
    <s v="0.44%"/>
    <s v="$2,567,987"/>
    <s v="$25,953"/>
    <s v="787M"/>
    <n v="3.2477100756670651E-3"/>
    <n v="1.4289924332935074E-5"/>
    <x v="1"/>
  </r>
  <r>
    <x v="254"/>
    <x v="253"/>
    <n v="1.089E-2"/>
    <s v="7.94%"/>
    <s v="$2,557,395"/>
    <s v="$1,031,311"/>
    <s v="234.81M"/>
    <n v="1.0088938299055031E-2"/>
    <n v="8.0106170094496922E-4"/>
    <x v="1"/>
  </r>
  <r>
    <x v="255"/>
    <x v="254"/>
    <n v="5.4380000000000001E-3"/>
    <s v="0.01%"/>
    <s v="$2,067,068"/>
    <s v="$68"/>
    <s v="380.1M"/>
    <n v="5.4374562543745624E-3"/>
    <n v="5.4374562543767907E-7"/>
    <x v="1"/>
  </r>
  <r>
    <x v="256"/>
    <x v="255"/>
    <n v="2.1250000000000002E-3"/>
    <s v="0.79%"/>
    <s v="$2,061,941"/>
    <s v="$202,808"/>
    <s v="970M"/>
    <n v="2.1083440817541424E-3"/>
    <n v="1.6655918245857791E-5"/>
    <x v="1"/>
  </r>
  <r>
    <x v="257"/>
    <x v="256"/>
    <n v="2.139E-5"/>
    <s v="2.16%"/>
    <s v="$2,061,716"/>
    <s v="$1,112,131"/>
    <s v="96.37B"/>
    <n v="2.0937744714173842E-5"/>
    <n v="4.5225528582615803E-7"/>
    <x v="1"/>
  </r>
  <r>
    <x v="258"/>
    <x v="257"/>
    <n v="1.1000000000000001"/>
    <s v="0.01%"/>
    <s v="$2,058,697"/>
    <s v="$47,788"/>
    <s v="1.85M"/>
    <n v="1.0998900109989003"/>
    <n v="1.0998900109981946E-4"/>
    <x v="1"/>
  </r>
  <r>
    <x v="259"/>
    <x v="258"/>
    <n v="269.86"/>
    <s v="0.01%"/>
    <s v="$2,058,129"/>
    <s v="$213,139"/>
    <s v="7.62K"/>
    <n v="269.8330166983302"/>
    <n v="2.6983301669815773E-2"/>
    <x v="0"/>
  </r>
  <r>
    <x v="260"/>
    <x v="259"/>
    <n v="0.26769999999999999"/>
    <s v="1.37%"/>
    <s v="$2,052,913"/>
    <s v="$412,964"/>
    <s v="7.66M"/>
    <n v="0.26408207556476271"/>
    <n v="3.6179244352372852E-3"/>
    <x v="1"/>
  </r>
  <r>
    <x v="261"/>
    <x v="260"/>
    <n v="2.0509999999999999E-3"/>
    <s v="2.41%"/>
    <s v="$2,051,634"/>
    <s v="$3,927,486"/>
    <s v="1B"/>
    <n v="2.0027341079972656E-3"/>
    <n v="4.826589200273429E-5"/>
    <x v="1"/>
  </r>
  <r>
    <x v="262"/>
    <x v="261"/>
    <n v="4.7009999999999999E-4"/>
    <s v="0.95%"/>
    <s v="$2,039,455"/>
    <s v="$1,877,811"/>
    <s v="4.33B"/>
    <n v="4.6567607726597323E-4"/>
    <n v="4.423922734026755E-6"/>
    <x v="1"/>
  </r>
  <r>
    <x v="263"/>
    <x v="262"/>
    <n v="0.1804"/>
    <s v="0.27%"/>
    <s v="$2,037,382"/>
    <s v="$175,018"/>
    <s v="11.28M"/>
    <n v="0.1799142315747482"/>
    <n v="4.8576842525180353E-4"/>
    <x v="1"/>
  </r>
  <r>
    <x v="264"/>
    <x v="263"/>
    <n v="2.94E-5"/>
    <s v="0.14%"/>
    <s v="$2,029,259"/>
    <s v="$2,841,232"/>
    <s v="69B"/>
    <n v="2.9358897543439184E-5"/>
    <n v="4.1102456560815359E-8"/>
    <x v="1"/>
  </r>
  <r>
    <x v="265"/>
    <x v="264"/>
    <n v="52.74"/>
    <s v="1.33%"/>
    <s v="$2,035,580"/>
    <s v="$117,506"/>
    <s v="38.59K"/>
    <n v="52.04776472910293"/>
    <n v="0.69223527089707204"/>
    <x v="0"/>
  </r>
  <r>
    <x v="266"/>
    <x v="265"/>
    <n v="8.4326999999999999E-2"/>
    <s v="0.25%"/>
    <s v="$2,029,473"/>
    <s v="$73,652"/>
    <s v="469T"/>
    <n v="8.4116708229426435E-2"/>
    <n v="2.1029177057356463E-4"/>
    <x v="1"/>
  </r>
  <r>
    <x v="267"/>
    <x v="266"/>
    <n v="5.4059000000000003E-2"/>
    <s v="3.58%"/>
    <s v="$2,018,735"/>
    <s v="$6,071,099"/>
    <s v="497.31B"/>
    <n v="5.2190577331531186E-2"/>
    <n v="1.8684226684688165E-3"/>
    <x v="1"/>
  </r>
  <r>
    <x v="268"/>
    <x v="267"/>
    <n v="5.507E-4"/>
    <s v="0.47%"/>
    <s v="$2,014,166"/>
    <s v="$119,479"/>
    <s v="3.65B"/>
    <n v="5.4812381805514085E-4"/>
    <n v="2.5761819448591461E-6"/>
    <x v="1"/>
  </r>
  <r>
    <x v="269"/>
    <x v="268"/>
    <n v="1.6160399999999998E-2"/>
    <s v="0.01%"/>
    <s v="$1,998,825"/>
    <s v="$75"/>
    <s v="124,602.47E"/>
    <n v="1.6158784121587839E-2"/>
    <n v="1.6158784121589331E-6"/>
    <x v="1"/>
  </r>
  <r>
    <x v="270"/>
    <x v="269"/>
    <n v="4.6809999999999999E-4"/>
    <s v="0.52%"/>
    <s v="$1,673,937"/>
    <s v="$875,639"/>
    <s v="3.57B"/>
    <n v="4.6567847194588138E-4"/>
    <n v="2.4215280541186159E-6"/>
    <x v="1"/>
  </r>
  <r>
    <x v="271"/>
    <x v="270"/>
    <n v="3.0130000000000001E-2"/>
    <s v="0.09%"/>
    <s v="$1,670,143"/>
    <s v="$8"/>
    <s v="55.41M"/>
    <n v="3.0102907383354985E-2"/>
    <n v="2.7092616645015694E-5"/>
    <x v="1"/>
  </r>
  <r>
    <x v="272"/>
    <x v="271"/>
    <n v="4.182E-3"/>
    <s v="0.02%"/>
    <s v="$1,658,808"/>
    <s v="$3,960"/>
    <s v="396.57M"/>
    <n v="4.1811637672465509E-3"/>
    <n v="8.3623275344904546E-7"/>
    <x v="1"/>
  </r>
  <r>
    <x v="273"/>
    <x v="272"/>
    <n v="2.3930000000000002E-3"/>
    <s v="2.91%"/>
    <s v="$1,658,112"/>
    <s v="$2,395,488"/>
    <s v="692.89M"/>
    <n v="2.3253328150811391E-3"/>
    <n v="6.7667184918861027E-5"/>
    <x v="1"/>
  </r>
  <r>
    <x v="274"/>
    <x v="273"/>
    <n v="1.572E-3"/>
    <s v="0.24%"/>
    <s v="$1,656,286"/>
    <s v="$60,239"/>
    <s v="1.05B"/>
    <n v="1.5682362330407024E-3"/>
    <n v="3.7637669592976639E-6"/>
    <x v="1"/>
  </r>
  <r>
    <x v="275"/>
    <x v="274"/>
    <n v="3.3639999999999998E-3"/>
    <s v="0.07%"/>
    <s v="$1,653,777"/>
    <s v="$264,639"/>
    <s v="491.56M"/>
    <n v="3.361646847206955E-3"/>
    <n v="2.3531527930447868E-6"/>
    <x v="1"/>
  </r>
  <r>
    <x v="276"/>
    <x v="275"/>
    <n v="2.4069999999999999E-3"/>
    <s v="0.00%"/>
    <s v="$1,649,491"/>
    <s v="N/A"/>
    <s v="685.09M"/>
    <n v="2.4069999999999999E-3"/>
    <n v="0"/>
    <x v="1"/>
  </r>
  <r>
    <x v="277"/>
    <x v="276"/>
    <n v="5.8009999999999997E-3"/>
    <s v="0.02%"/>
    <s v="$1,647,748"/>
    <s v="$119,611"/>
    <s v="284M"/>
    <n v="5.799840031993601E-3"/>
    <n v="1.1599680063987053E-6"/>
    <x v="1"/>
  </r>
  <r>
    <x v="278"/>
    <x v="277"/>
    <n v="5.4859999999999999E-2"/>
    <s v="0.71%"/>
    <s v="$1,646,017"/>
    <s v="$1,632,086"/>
    <s v="30M"/>
    <n v="5.447323999602819E-2"/>
    <n v="3.8676000397180887E-4"/>
    <x v="1"/>
  </r>
  <r>
    <x v="279"/>
    <x v="278"/>
    <n v="1.885E-3"/>
    <s v="0.01%"/>
    <s v="$1,640,224"/>
    <s v="$121,545"/>
    <s v="869.79M"/>
    <n v="1.8848115188481152E-3"/>
    <n v="1.8848115188475206E-7"/>
    <x v="1"/>
  </r>
  <r>
    <x v="280"/>
    <x v="279"/>
    <n v="1.2689999999999999E-4"/>
    <s v="0.50%"/>
    <s v="$1,637,470"/>
    <s v="$172,807"/>
    <s v="12.89B"/>
    <n v="1.2626865671641792E-4"/>
    <n v="6.3134328358207658E-7"/>
    <x v="1"/>
  </r>
  <r>
    <x v="281"/>
    <x v="280"/>
    <n v="1.6299999999999999E-3"/>
    <s v="0.51%"/>
    <s v="$1,630,840"/>
    <s v="$2,095,797"/>
    <s v="1B"/>
    <n v="1.6217291811760021E-3"/>
    <n v="8.270818823997864E-6"/>
    <x v="1"/>
  </r>
  <r>
    <x v="282"/>
    <x v="281"/>
    <n v="2.7470000000000001E-4"/>
    <s v="2.30%"/>
    <s v="$1,630,658"/>
    <s v="$202,903"/>
    <s v="5.93B"/>
    <n v="2.685239491691105E-4"/>
    <n v="6.1760508308895089E-6"/>
    <x v="1"/>
  </r>
  <r>
    <x v="283"/>
    <x v="282"/>
    <n v="7.4900000000000001E-3"/>
    <s v="2.08%"/>
    <s v="$1,629,272"/>
    <s v="$6,640,266"/>
    <s v="217.5M"/>
    <n v="7.3373824451410663E-3"/>
    <n v="1.5261755485893383E-4"/>
    <x v="1"/>
  </r>
  <r>
    <x v="284"/>
    <x v="283"/>
    <n v="0.25850000000000001"/>
    <s v="0.65%"/>
    <s v="$1,622,431"/>
    <s v="$148,384"/>
    <s v="6.27M"/>
    <n v="0.25683060109289618"/>
    <n v="1.6693989071038251E-3"/>
    <x v="1"/>
  </r>
  <r>
    <x v="285"/>
    <x v="284"/>
    <n v="1.966E-2"/>
    <s v="0.37%"/>
    <s v="$1,364,927"/>
    <s v="$498,471"/>
    <s v="69.42M"/>
    <n v="1.9587526153233038E-2"/>
    <n v="7.2473846766962086E-5"/>
    <x v="1"/>
  </r>
  <r>
    <x v="286"/>
    <x v="285"/>
    <n v="420.34"/>
    <s v="0.00%"/>
    <s v="$1,361,560"/>
    <s v="N/A"/>
    <s v="3.23K"/>
    <n v="420.34"/>
    <n v="0"/>
    <x v="0"/>
  </r>
  <r>
    <x v="287"/>
    <x v="286"/>
    <n v="1.3600000000000001E-3"/>
    <s v="0.92%"/>
    <s v="$1,360,623"/>
    <s v="$325,530"/>
    <s v="999.99M"/>
    <n v="1.3476020610384463E-3"/>
    <n v="1.2397938961553837E-5"/>
    <x v="1"/>
  </r>
  <r>
    <x v="288"/>
    <x v="287"/>
    <n v="8.7609999999999999E-4"/>
    <s v="0.00%"/>
    <s v="$1,358,212"/>
    <s v="N/A"/>
    <s v="1.55B"/>
    <n v="8.7609999999999999E-4"/>
    <n v="0"/>
    <x v="1"/>
  </r>
  <r>
    <x v="289"/>
    <x v="288"/>
    <n v="2.4780000000000002E-3"/>
    <s v="0.06%"/>
    <s v="$1,356,556"/>
    <s v="$69,221"/>
    <s v="547.33M"/>
    <n v="2.4765140915450731E-3"/>
    <n v="1.4859084549270242E-6"/>
    <x v="1"/>
  </r>
  <r>
    <x v="290"/>
    <x v="289"/>
    <n v="5.3959999999999998E-3"/>
    <s v="0.31%"/>
    <s v="$1,349,188"/>
    <s v="$115,146"/>
    <s v="250M"/>
    <n v="5.3793240953045555E-3"/>
    <n v="1.6675904695444277E-5"/>
    <x v="1"/>
  </r>
  <r>
    <x v="291"/>
    <x v="290"/>
    <n v="1.354E-3"/>
    <s v="0.37%"/>
    <s v="$1,347,893"/>
    <s v="$11,534"/>
    <s v="995.21M"/>
    <n v="1.3490086679286638E-3"/>
    <n v="4.9913320713361204E-6"/>
    <x v="1"/>
  </r>
  <r>
    <x v="292"/>
    <x v="291"/>
    <n v="1.3470000000000001E-3"/>
    <s v="0.00%"/>
    <s v="$1,347,859"/>
    <s v="$3"/>
    <s v="1B"/>
    <n v="1.3470000000000001E-3"/>
    <n v="0"/>
    <x v="1"/>
  </r>
  <r>
    <x v="293"/>
    <x v="292"/>
    <n v="0.71079999999999999"/>
    <s v="0.56%"/>
    <s v="$1,346,379"/>
    <s v="$8,743"/>
    <s v="1.89M"/>
    <n v="0.70684168655529034"/>
    <n v="3.9583134447096491E-3"/>
    <x v="1"/>
  </r>
  <r>
    <x v="294"/>
    <x v="293"/>
    <n v="1.3439999999999999E-3"/>
    <s v="0.35%"/>
    <s v="$1,343,123"/>
    <s v="$528,180"/>
    <s v="998.93M"/>
    <n v="1.3393124065769805E-3"/>
    <n v="4.6875934230194548E-6"/>
    <x v="1"/>
  </r>
  <r>
    <x v="295"/>
    <x v="294"/>
    <n v="5.0899999999999999E-3"/>
    <s v="0.03%"/>
    <s v="$1,340,163"/>
    <s v="$94,589"/>
    <s v="263.24M"/>
    <n v="5.088473457962611E-3"/>
    <n v="1.5265420373888894E-6"/>
    <x v="1"/>
  </r>
  <r>
    <x v="296"/>
    <x v="295"/>
    <n v="1.78"/>
    <s v="0.00%"/>
    <s v="$1,335,229"/>
    <s v="$14"/>
    <s v="745.99K"/>
    <n v="1.78"/>
    <n v="0"/>
    <x v="1"/>
  </r>
  <r>
    <x v="297"/>
    <x v="296"/>
    <n v="1.34E-3"/>
    <s v="0.43%"/>
    <s v="$1,333,124"/>
    <s v="$876,529"/>
    <s v="994.84M"/>
    <n v="1.3342626705167779E-3"/>
    <n v="5.737329483222189E-6"/>
    <x v="1"/>
  </r>
  <r>
    <x v="298"/>
    <x v="297"/>
    <n v="0.65690000000000004"/>
    <s v="1.71%"/>
    <s v="$1,330,087"/>
    <s v="$3,526,156"/>
    <s v="2.02M"/>
    <n v="0.64585586471340095"/>
    <n v="1.1044135286599088E-2"/>
    <x v="1"/>
  </r>
  <r>
    <x v="299"/>
    <x v="298"/>
    <n v="1.6990000000000002E-2"/>
    <s v="0.01%"/>
    <s v="$1,329,457"/>
    <s v="$5,527"/>
    <s v="78.23M"/>
    <n v="1.6988301169883015E-2"/>
    <n v="1.6988301169869324E-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E93FBD-B8AB-4634-BF37-F7B7D9F84A0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6:D27" firstHeaderRow="1" firstDataRow="1" firstDataCol="1"/>
  <pivotFields count="10">
    <pivotField showAll="0"/>
    <pivotField axis="axisRow" showAll="0" measureFilter="1">
      <items count="300">
        <item x="216"/>
        <item x="232"/>
        <item x="19"/>
        <item x="175"/>
        <item x="22"/>
        <item x="183"/>
        <item x="59"/>
        <item x="79"/>
        <item x="10"/>
        <item x="93"/>
        <item x="255"/>
        <item x="276"/>
        <item x="149"/>
        <item x="146"/>
        <item x="195"/>
        <item x="196"/>
        <item x="295"/>
        <item x="277"/>
        <item x="42"/>
        <item x="128"/>
        <item x="212"/>
        <item x="229"/>
        <item x="136"/>
        <item x="191"/>
        <item x="158"/>
        <item x="132"/>
        <item x="84"/>
        <item x="141"/>
        <item x="221"/>
        <item x="100"/>
        <item x="69"/>
        <item x="11"/>
        <item x="244"/>
        <item x="33"/>
        <item x="157"/>
        <item x="142"/>
        <item x="122"/>
        <item x="251"/>
        <item x="80"/>
        <item x="170"/>
        <item x="118"/>
        <item x="4"/>
        <item x="40"/>
        <item x="237"/>
        <item x="284"/>
        <item x="202"/>
        <item x="24"/>
        <item x="1"/>
        <item x="287"/>
        <item x="226"/>
        <item x="17"/>
        <item x="218"/>
        <item x="113"/>
        <item x="241"/>
        <item x="204"/>
        <item x="231"/>
        <item x="250"/>
        <item x="117"/>
        <item x="27"/>
        <item x="96"/>
        <item x="20"/>
        <item x="0"/>
        <item x="172"/>
        <item x="147"/>
        <item x="135"/>
        <item x="86"/>
        <item x="121"/>
        <item x="257"/>
        <item x="134"/>
        <item x="253"/>
        <item x="207"/>
        <item x="174"/>
        <item x="78"/>
        <item x="77"/>
        <item x="222"/>
        <item x="185"/>
        <item x="188"/>
        <item x="152"/>
        <item x="9"/>
        <item x="280"/>
        <item x="68"/>
        <item x="98"/>
        <item x="260"/>
        <item x="54"/>
        <item x="76"/>
        <item x="165"/>
        <item x="162"/>
        <item x="94"/>
        <item x="58"/>
        <item x="60"/>
        <item x="26"/>
        <item x="176"/>
        <item x="2"/>
        <item x="55"/>
        <item x="97"/>
        <item x="179"/>
        <item x="81"/>
        <item x="261"/>
        <item x="18"/>
        <item x="106"/>
        <item x="39"/>
        <item x="298"/>
        <item x="35"/>
        <item x="119"/>
        <item x="193"/>
        <item x="38"/>
        <item x="249"/>
        <item x="223"/>
        <item x="238"/>
        <item x="181"/>
        <item x="145"/>
        <item x="234"/>
        <item x="15"/>
        <item x="143"/>
        <item x="169"/>
        <item x="252"/>
        <item x="154"/>
        <item x="210"/>
        <item x="131"/>
        <item x="217"/>
        <item x="14"/>
        <item x="201"/>
        <item x="23"/>
        <item x="63"/>
        <item x="32"/>
        <item x="292"/>
        <item x="16"/>
        <item x="263"/>
        <item x="220"/>
        <item x="25"/>
        <item x="186"/>
        <item x="180"/>
        <item x="164"/>
        <item x="282"/>
        <item x="166"/>
        <item x="254"/>
        <item x="61"/>
        <item x="187"/>
        <item x="198"/>
        <item x="12"/>
        <item x="285"/>
        <item x="43"/>
        <item x="83"/>
        <item x="109"/>
        <item x="161"/>
        <item x="288"/>
        <item x="64"/>
        <item x="88"/>
        <item x="51"/>
        <item x="194"/>
        <item x="108"/>
        <item x="110"/>
        <item x="114"/>
        <item x="103"/>
        <item x="190"/>
        <item x="85"/>
        <item x="56"/>
        <item x="99"/>
        <item x="199"/>
        <item x="90"/>
        <item x="283"/>
        <item x="205"/>
        <item x="230"/>
        <item x="247"/>
        <item x="270"/>
        <item x="258"/>
        <item x="215"/>
        <item x="129"/>
        <item x="107"/>
        <item x="29"/>
        <item x="52"/>
        <item x="130"/>
        <item x="116"/>
        <item x="46"/>
        <item x="62"/>
        <item x="75"/>
        <item x="275"/>
        <item x="101"/>
        <item x="102"/>
        <item x="256"/>
        <item x="206"/>
        <item x="150"/>
        <item x="192"/>
        <item x="74"/>
        <item x="291"/>
        <item x="265"/>
        <item x="133"/>
        <item x="240"/>
        <item x="148"/>
        <item x="72"/>
        <item x="124"/>
        <item x="45"/>
        <item x="211"/>
        <item x="272"/>
        <item x="271"/>
        <item x="115"/>
        <item x="219"/>
        <item x="105"/>
        <item x="87"/>
        <item x="111"/>
        <item x="171"/>
        <item x="30"/>
        <item x="242"/>
        <item x="57"/>
        <item x="227"/>
        <item x="91"/>
        <item x="233"/>
        <item x="289"/>
        <item x="48"/>
        <item x="266"/>
        <item x="239"/>
        <item x="112"/>
        <item x="225"/>
        <item x="123"/>
        <item x="53"/>
        <item x="177"/>
        <item x="274"/>
        <item x="279"/>
        <item x="267"/>
        <item x="184"/>
        <item x="189"/>
        <item x="104"/>
        <item x="268"/>
        <item x="73"/>
        <item x="160"/>
        <item x="71"/>
        <item x="293"/>
        <item x="50"/>
        <item x="7"/>
        <item x="200"/>
        <item x="140"/>
        <item x="262"/>
        <item x="294"/>
        <item x="228"/>
        <item x="168"/>
        <item x="95"/>
        <item x="296"/>
        <item x="297"/>
        <item x="156"/>
        <item x="21"/>
        <item x="208"/>
        <item x="281"/>
        <item x="235"/>
        <item x="92"/>
        <item x="144"/>
        <item x="159"/>
        <item x="151"/>
        <item x="246"/>
        <item x="259"/>
        <item x="66"/>
        <item x="126"/>
        <item x="8"/>
        <item x="28"/>
        <item x="236"/>
        <item x="245"/>
        <item x="214"/>
        <item x="36"/>
        <item x="37"/>
        <item x="6"/>
        <item x="31"/>
        <item x="173"/>
        <item x="3"/>
        <item x="34"/>
        <item x="82"/>
        <item x="125"/>
        <item x="290"/>
        <item x="278"/>
        <item x="178"/>
        <item x="70"/>
        <item x="224"/>
        <item x="269"/>
        <item x="155"/>
        <item x="138"/>
        <item x="203"/>
        <item x="44"/>
        <item x="182"/>
        <item x="273"/>
        <item x="153"/>
        <item x="65"/>
        <item x="213"/>
        <item x="67"/>
        <item x="163"/>
        <item x="197"/>
        <item x="13"/>
        <item x="120"/>
        <item x="49"/>
        <item x="5"/>
        <item x="139"/>
        <item x="209"/>
        <item x="167"/>
        <item x="47"/>
        <item x="264"/>
        <item x="286"/>
        <item x="41"/>
        <item x="243"/>
        <item x="248"/>
        <item x="137"/>
        <item x="127"/>
        <item x="89"/>
        <item t="default"/>
      </items>
    </pivotField>
    <pivotField showAll="0"/>
    <pivotField showAll="0"/>
    <pivotField showAll="0"/>
    <pivotField showAll="0"/>
    <pivotField showAll="0"/>
    <pivotField showAll="0"/>
    <pivotField dataField="1" showAll="0"/>
    <pivotField showAll="0">
      <items count="3">
        <item h="1" x="1"/>
        <item x="0"/>
        <item t="default"/>
      </items>
    </pivotField>
  </pivotFields>
  <rowFields count="1">
    <field x="1"/>
  </rowFields>
  <rowItems count="11">
    <i>
      <x v="31"/>
    </i>
    <i>
      <x v="41"/>
    </i>
    <i>
      <x v="47"/>
    </i>
    <i>
      <x v="92"/>
    </i>
    <i>
      <x v="177"/>
    </i>
    <i>
      <x v="228"/>
    </i>
    <i>
      <x v="280"/>
    </i>
    <i>
      <x v="281"/>
    </i>
    <i>
      <x v="283"/>
    </i>
    <i>
      <x v="291"/>
    </i>
    <i t="grand">
      <x/>
    </i>
  </rowItems>
  <colItems count="1">
    <i/>
  </colItems>
  <dataFields count="1">
    <dataField name="Sum of price_change" fld="8" baseField="0" baseItem="0"/>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685478-669E-4D22-8F68-C7EDEB4F66E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14" firstHeaderRow="0" firstDataRow="1" firstDataCol="1"/>
  <pivotFields count="10">
    <pivotField axis="axisRow" showAll="0" measureFilter="1">
      <items count="301">
        <item x="175"/>
        <item x="79"/>
        <item x="93"/>
        <item x="58"/>
        <item x="256"/>
        <item x="83"/>
        <item x="149"/>
        <item x="277"/>
        <item x="29"/>
        <item x="195"/>
        <item x="59"/>
        <item x="144"/>
        <item x="136"/>
        <item x="145"/>
        <item x="296"/>
        <item x="106"/>
        <item x="278"/>
        <item x="42"/>
        <item x="230"/>
        <item x="128"/>
        <item x="212"/>
        <item x="191"/>
        <item x="116"/>
        <item x="158"/>
        <item x="132"/>
        <item x="141"/>
        <item x="84"/>
        <item x="221"/>
        <item x="100"/>
        <item x="33"/>
        <item x="157"/>
        <item x="142"/>
        <item x="252"/>
        <item x="1"/>
        <item x="11"/>
        <item x="24"/>
        <item x="245"/>
        <item x="226"/>
        <item x="17"/>
        <item x="218"/>
        <item x="118"/>
        <item x="194"/>
        <item x="4"/>
        <item x="238"/>
        <item x="69"/>
        <item x="285"/>
        <item x="170"/>
        <item x="202"/>
        <item x="122"/>
        <item x="288"/>
        <item x="10"/>
        <item x="56"/>
        <item x="204"/>
        <item x="232"/>
        <item x="251"/>
        <item x="117"/>
        <item x="113"/>
        <item x="12"/>
        <item x="20"/>
        <item x="96"/>
        <item x="121"/>
        <item x="0"/>
        <item x="172"/>
        <item x="147"/>
        <item x="27"/>
        <item x="78"/>
        <item x="135"/>
        <item x="86"/>
        <item x="254"/>
        <item x="242"/>
        <item x="258"/>
        <item x="134"/>
        <item x="207"/>
        <item x="174"/>
        <item x="222"/>
        <item x="77"/>
        <item x="228"/>
        <item x="76"/>
        <item x="265"/>
        <item x="185"/>
        <item x="152"/>
        <item x="9"/>
        <item x="281"/>
        <item x="68"/>
        <item x="98"/>
        <item x="22"/>
        <item x="188"/>
        <item x="261"/>
        <item x="54"/>
        <item x="165"/>
        <item x="94"/>
        <item x="197"/>
        <item x="97"/>
        <item x="60"/>
        <item x="176"/>
        <item x="2"/>
        <item x="26"/>
        <item x="55"/>
        <item x="108"/>
        <item x="179"/>
        <item x="31"/>
        <item x="35"/>
        <item x="18"/>
        <item x="81"/>
        <item x="299"/>
        <item x="119"/>
        <item x="193"/>
        <item x="38"/>
        <item x="250"/>
        <item x="223"/>
        <item x="181"/>
        <item x="235"/>
        <item x="239"/>
        <item x="143"/>
        <item x="169"/>
        <item x="62"/>
        <item x="253"/>
        <item x="80"/>
        <item x="154"/>
        <item x="201"/>
        <item x="131"/>
        <item x="217"/>
        <item x="161"/>
        <item x="14"/>
        <item x="146"/>
        <item x="63"/>
        <item x="111"/>
        <item x="23"/>
        <item x="162"/>
        <item x="264"/>
        <item x="293"/>
        <item x="32"/>
        <item x="16"/>
        <item x="25"/>
        <item x="220"/>
        <item x="186"/>
        <item x="164"/>
        <item x="180"/>
        <item x="166"/>
        <item x="283"/>
        <item x="255"/>
        <item x="187"/>
        <item x="39"/>
        <item x="109"/>
        <item x="286"/>
        <item x="198"/>
        <item x="88"/>
        <item x="43"/>
        <item x="289"/>
        <item x="51"/>
        <item x="90"/>
        <item x="46"/>
        <item x="21"/>
        <item x="67"/>
        <item x="110"/>
        <item x="114"/>
        <item x="216"/>
        <item x="103"/>
        <item x="190"/>
        <item x="92"/>
        <item x="210"/>
        <item x="85"/>
        <item x="259"/>
        <item x="248"/>
        <item x="284"/>
        <item x="99"/>
        <item x="205"/>
        <item x="13"/>
        <item x="271"/>
        <item x="199"/>
        <item x="215"/>
        <item x="129"/>
        <item x="107"/>
        <item x="130"/>
        <item x="52"/>
        <item x="53"/>
        <item x="233"/>
        <item x="34"/>
        <item x="75"/>
        <item x="276"/>
        <item x="102"/>
        <item x="101"/>
        <item x="257"/>
        <item x="206"/>
        <item x="150"/>
        <item x="74"/>
        <item x="266"/>
        <item x="133"/>
        <item x="148"/>
        <item x="72"/>
        <item x="127"/>
        <item x="124"/>
        <item x="45"/>
        <item x="273"/>
        <item x="211"/>
        <item x="272"/>
        <item x="241"/>
        <item x="274"/>
        <item x="115"/>
        <item x="192"/>
        <item x="219"/>
        <item x="87"/>
        <item x="173"/>
        <item x="171"/>
        <item x="280"/>
        <item x="30"/>
        <item x="243"/>
        <item x="240"/>
        <item x="57"/>
        <item x="227"/>
        <item x="91"/>
        <item x="234"/>
        <item x="290"/>
        <item x="48"/>
        <item x="267"/>
        <item x="112"/>
        <item x="225"/>
        <item x="123"/>
        <item x="177"/>
        <item x="275"/>
        <item x="104"/>
        <item x="268"/>
        <item x="184"/>
        <item x="183"/>
        <item x="295"/>
        <item x="269"/>
        <item x="73"/>
        <item x="160"/>
        <item x="71"/>
        <item x="50"/>
        <item x="7"/>
        <item x="61"/>
        <item x="140"/>
        <item x="189"/>
        <item x="229"/>
        <item x="196"/>
        <item x="262"/>
        <item x="168"/>
        <item x="95"/>
        <item x="297"/>
        <item x="19"/>
        <item x="298"/>
        <item x="294"/>
        <item x="156"/>
        <item x="40"/>
        <item x="282"/>
        <item x="66"/>
        <item x="159"/>
        <item x="236"/>
        <item x="82"/>
        <item x="3"/>
        <item x="163"/>
        <item x="15"/>
        <item x="151"/>
        <item x="247"/>
        <item x="64"/>
        <item x="263"/>
        <item x="260"/>
        <item x="126"/>
        <item x="8"/>
        <item x="28"/>
        <item x="208"/>
        <item x="237"/>
        <item x="246"/>
        <item x="214"/>
        <item x="249"/>
        <item x="200"/>
        <item x="37"/>
        <item x="6"/>
        <item x="36"/>
        <item x="270"/>
        <item x="125"/>
        <item x="178"/>
        <item x="47"/>
        <item x="291"/>
        <item x="279"/>
        <item x="70"/>
        <item x="224"/>
        <item x="105"/>
        <item x="138"/>
        <item x="44"/>
        <item x="203"/>
        <item x="182"/>
        <item x="231"/>
        <item x="65"/>
        <item x="153"/>
        <item x="155"/>
        <item x="213"/>
        <item x="120"/>
        <item x="49"/>
        <item x="5"/>
        <item x="139"/>
        <item x="209"/>
        <item x="167"/>
        <item x="287"/>
        <item x="292"/>
        <item x="244"/>
        <item x="41"/>
        <item x="137"/>
        <item x="89"/>
        <item t="default"/>
      </items>
    </pivotField>
    <pivotField showAll="0"/>
    <pivotField dataField="1" showAll="0"/>
    <pivotField showAll="0"/>
    <pivotField showAll="0"/>
    <pivotField showAll="0"/>
    <pivotField showAll="0"/>
    <pivotField dataField="1" showAll="0"/>
    <pivotField dataField="1" showAll="0"/>
    <pivotField showAll="0">
      <items count="3">
        <item h="1" x="1"/>
        <item x="0"/>
        <item t="default"/>
      </items>
    </pivotField>
  </pivotFields>
  <rowFields count="1">
    <field x="0"/>
  </rowFields>
  <rowItems count="11">
    <i>
      <x v="33"/>
    </i>
    <i>
      <x v="34"/>
    </i>
    <i>
      <x v="42"/>
    </i>
    <i>
      <x v="78"/>
    </i>
    <i>
      <x v="95"/>
    </i>
    <i>
      <x v="153"/>
    </i>
    <i>
      <x v="167"/>
    </i>
    <i>
      <x v="181"/>
    </i>
    <i>
      <x v="230"/>
    </i>
    <i>
      <x v="251"/>
    </i>
    <i t="grand">
      <x/>
    </i>
  </rowItems>
  <colFields count="1">
    <field x="-2"/>
  </colFields>
  <colItems count="3">
    <i>
      <x/>
    </i>
    <i i="1">
      <x v="1"/>
    </i>
    <i i="2">
      <x v="2"/>
    </i>
  </colItems>
  <dataFields count="3">
    <dataField name="Sum of Price (USD)" fld="2" baseField="0" baseItem="0"/>
    <dataField name="Sum of previous 1H price" fld="7" baseField="0" baseItem="0"/>
    <dataField name="Sum of price_change" fld="8" baseField="0" baseItem="0"/>
  </dataFields>
  <chartFormats count="3">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0" type="count" evalOrder="-1" id="1" iMeasureFld="2">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 xr10:uid="{687D41F4-F4C0-4090-AC9E-C1D2D31767F4}" sourceName="price_range">
  <pivotTables>
    <pivotTable tabId="3" name="PivotTable1"/>
    <pivotTable tabId="3" name="PivotTable5"/>
  </pivotTables>
  <data>
    <tabular pivotCacheId="705656787">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_range" xr10:uid="{100FCA27-4984-4C02-91E9-4099755A6576}" cache="Slicer_price_range" caption="price_rang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A78314-AC68-4992-9E59-8602CF40F294}" name="Table2" displayName="Table2" ref="A1:G301" totalsRowShown="0" headerRowDxfId="8" headerRowBorderDxfId="7" tableBorderDxfId="6">
  <autoFilter ref="A1:G301" xr:uid="{6DA78314-AC68-4992-9E59-8602CF40F294}"/>
  <tableColumns count="7">
    <tableColumn id="1" xr3:uid="{ECC881D7-6510-4EB1-9F8A-D78FCA8BA850}" name="Coin Name"/>
    <tableColumn id="2" xr3:uid="{F7FD538D-8B7F-49ED-AA52-C75E22B9AD24}" name="Symbol"/>
    <tableColumn id="3" xr3:uid="{832B3B8C-91AC-4CE3-85B6-46AF1E7713F0}" name="Price (USD)"/>
    <tableColumn id="4" xr3:uid="{037264BC-6B99-48A6-8520-55E38FF10165}" name="1h Change (%)"/>
    <tableColumn id="5" xr3:uid="{86907FF0-3935-459D-B4C1-DF6C9E6496C8}" name="Market Cap"/>
    <tableColumn id="6" xr3:uid="{A01F09CA-F7D2-4F2C-B447-597D68D498B3}" name="Volume (24h) USD"/>
    <tableColumn id="7" xr3:uid="{C1622E7C-C72B-48C1-AAE6-B35D10B8F5F5}" name="Circulating Supply"/>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84FC52-0B0A-480E-B87C-F035B9EAF3FE}" name="Table22" displayName="Table22" ref="A1:J301" totalsRowShown="0" headerRowDxfId="5" headerRowBorderDxfId="4" tableBorderDxfId="3">
  <autoFilter ref="A1:J301" xr:uid="{3284FC52-0B0A-480E-B87C-F035B9EAF3FE}"/>
  <tableColumns count="10">
    <tableColumn id="1" xr3:uid="{D8E3BCCF-EF38-429F-B1E7-6FD2FC4C73CF}" name="Coin Name"/>
    <tableColumn id="2" xr3:uid="{AA0B0E58-9479-451C-88CD-DD18AEF35A82}" name="Symbol"/>
    <tableColumn id="3" xr3:uid="{9F37379F-1C52-4A32-9D95-829B2F7D591B}" name="Price (USD)"/>
    <tableColumn id="4" xr3:uid="{722DFF6D-F99A-4691-8337-E414C7249113}" name="1h Change (%)"/>
    <tableColumn id="5" xr3:uid="{292F4661-B2FC-4E6E-9969-537D824E342F}" name="Market Cap"/>
    <tableColumn id="6" xr3:uid="{EEEE768F-43D2-40EB-A9FD-2444A4A0C56F}" name="Volume (24h) USD"/>
    <tableColumn id="7" xr3:uid="{855282E3-5530-4B68-B953-6BB31A961CE6}" name="Circulating Supply"/>
    <tableColumn id="8" xr3:uid="{06936EC8-6EB6-41CC-8845-B9F1413AFAB2}" name="previous 1H price" dataDxfId="2">
      <calculatedColumnFormula>C2/(1+D2)</calculatedColumnFormula>
    </tableColumn>
    <tableColumn id="9" xr3:uid="{FE9DDDEE-06C0-4FB6-8DE9-4947BA98F18A}" name="price_change" dataDxfId="1">
      <calculatedColumnFormula>C2 - H2</calculatedColumnFormula>
    </tableColumn>
    <tableColumn id="10" xr3:uid="{A6D552DD-4CB5-4D43-84DA-E415B04C99D0}" name="price_range" dataDxfId="0">
      <calculatedColumnFormula>IF(C2&gt;=10,"&gt;= $10","&lt; $10")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1"/>
  <sheetViews>
    <sheetView workbookViewId="0">
      <pane ySplit="1" topLeftCell="A284" activePane="bottomLeft" state="frozen"/>
      <selection pane="bottomLeft" sqref="A1:G301"/>
    </sheetView>
  </sheetViews>
  <sheetFormatPr defaultRowHeight="14.5" x14ac:dyDescent="0.35"/>
  <cols>
    <col min="1" max="1" width="46.1796875" bestFit="1" customWidth="1"/>
    <col min="2" max="2" width="9.54296875" bestFit="1" customWidth="1"/>
    <col min="3" max="3" width="12.08984375" customWidth="1"/>
    <col min="4" max="4" width="14.7265625" customWidth="1"/>
    <col min="5" max="5" width="16.7265625" bestFit="1" customWidth="1"/>
    <col min="6" max="6" width="18" customWidth="1"/>
    <col min="7" max="7" width="17.6328125" customWidth="1"/>
  </cols>
  <sheetData>
    <row r="1" spans="1:7" x14ac:dyDescent="0.35">
      <c r="A1" s="1" t="s">
        <v>0</v>
      </c>
      <c r="B1" s="1" t="s">
        <v>1</v>
      </c>
      <c r="C1" s="1" t="s">
        <v>2</v>
      </c>
      <c r="D1" s="1" t="s">
        <v>3</v>
      </c>
      <c r="E1" s="1" t="s">
        <v>4</v>
      </c>
      <c r="F1" s="1" t="s">
        <v>5</v>
      </c>
      <c r="G1" s="1" t="s">
        <v>6</v>
      </c>
    </row>
    <row r="2" spans="1:7" x14ac:dyDescent="0.35">
      <c r="A2" t="s">
        <v>7</v>
      </c>
      <c r="B2" t="s">
        <v>8</v>
      </c>
      <c r="C2" t="s">
        <v>9</v>
      </c>
      <c r="D2" t="s">
        <v>10</v>
      </c>
      <c r="E2" t="s">
        <v>11</v>
      </c>
      <c r="F2" t="s">
        <v>12</v>
      </c>
      <c r="G2" t="s">
        <v>13</v>
      </c>
    </row>
    <row r="3" spans="1:7" x14ac:dyDescent="0.35">
      <c r="A3" t="s">
        <v>14</v>
      </c>
      <c r="B3" t="s">
        <v>15</v>
      </c>
      <c r="C3" t="s">
        <v>16</v>
      </c>
      <c r="D3" t="s">
        <v>17</v>
      </c>
      <c r="E3" t="s">
        <v>18</v>
      </c>
      <c r="F3" t="s">
        <v>19</v>
      </c>
      <c r="G3" t="s">
        <v>20</v>
      </c>
    </row>
    <row r="4" spans="1:7" x14ac:dyDescent="0.35">
      <c r="A4" t="s">
        <v>21</v>
      </c>
      <c r="B4" t="s">
        <v>22</v>
      </c>
      <c r="C4" t="s">
        <v>23</v>
      </c>
      <c r="D4" t="s">
        <v>24</v>
      </c>
      <c r="E4" t="s">
        <v>25</v>
      </c>
      <c r="F4" t="s">
        <v>26</v>
      </c>
      <c r="G4" t="s">
        <v>27</v>
      </c>
    </row>
    <row r="5" spans="1:7" x14ac:dyDescent="0.35">
      <c r="A5" t="s">
        <v>28</v>
      </c>
      <c r="B5" t="s">
        <v>29</v>
      </c>
      <c r="C5" t="s">
        <v>30</v>
      </c>
      <c r="D5" t="s">
        <v>31</v>
      </c>
      <c r="E5" t="s">
        <v>32</v>
      </c>
      <c r="F5" t="s">
        <v>33</v>
      </c>
      <c r="G5" t="s">
        <v>34</v>
      </c>
    </row>
    <row r="6" spans="1:7" x14ac:dyDescent="0.35">
      <c r="A6" t="s">
        <v>35</v>
      </c>
      <c r="B6" t="s">
        <v>35</v>
      </c>
      <c r="C6" t="s">
        <v>36</v>
      </c>
      <c r="D6" t="s">
        <v>37</v>
      </c>
      <c r="E6" t="s">
        <v>38</v>
      </c>
      <c r="F6" t="s">
        <v>39</v>
      </c>
      <c r="G6" t="s">
        <v>40</v>
      </c>
    </row>
    <row r="7" spans="1:7" x14ac:dyDescent="0.35">
      <c r="A7" t="s">
        <v>41</v>
      </c>
      <c r="B7" t="s">
        <v>41</v>
      </c>
      <c r="C7" t="s">
        <v>42</v>
      </c>
      <c r="D7" t="s">
        <v>43</v>
      </c>
      <c r="E7" t="s">
        <v>44</v>
      </c>
      <c r="F7" t="s">
        <v>45</v>
      </c>
      <c r="G7" t="s">
        <v>46</v>
      </c>
    </row>
    <row r="8" spans="1:7" x14ac:dyDescent="0.35">
      <c r="A8" t="s">
        <v>47</v>
      </c>
      <c r="B8" t="s">
        <v>47</v>
      </c>
      <c r="C8" t="s">
        <v>48</v>
      </c>
      <c r="D8" t="s">
        <v>49</v>
      </c>
      <c r="E8" t="s">
        <v>50</v>
      </c>
      <c r="F8" t="s">
        <v>51</v>
      </c>
      <c r="G8" t="s">
        <v>52</v>
      </c>
    </row>
    <row r="9" spans="1:7" x14ac:dyDescent="0.35">
      <c r="A9" t="s">
        <v>53</v>
      </c>
      <c r="B9" t="s">
        <v>54</v>
      </c>
      <c r="C9" t="s">
        <v>55</v>
      </c>
      <c r="D9" t="s">
        <v>56</v>
      </c>
      <c r="E9" t="s">
        <v>57</v>
      </c>
      <c r="F9" t="s">
        <v>58</v>
      </c>
      <c r="G9" t="s">
        <v>59</v>
      </c>
    </row>
    <row r="10" spans="1:7" x14ac:dyDescent="0.35">
      <c r="A10" t="s">
        <v>60</v>
      </c>
      <c r="B10" t="s">
        <v>61</v>
      </c>
      <c r="C10" t="s">
        <v>62</v>
      </c>
      <c r="D10" t="s">
        <v>24</v>
      </c>
      <c r="E10" t="s">
        <v>63</v>
      </c>
      <c r="F10" t="s">
        <v>64</v>
      </c>
      <c r="G10" t="s">
        <v>65</v>
      </c>
    </row>
    <row r="11" spans="1:7" x14ac:dyDescent="0.35">
      <c r="A11" t="s">
        <v>66</v>
      </c>
      <c r="B11" t="s">
        <v>67</v>
      </c>
      <c r="C11" t="s">
        <v>68</v>
      </c>
      <c r="D11" t="s">
        <v>69</v>
      </c>
      <c r="E11" t="s">
        <v>70</v>
      </c>
      <c r="F11" t="s">
        <v>71</v>
      </c>
      <c r="G11" t="s">
        <v>72</v>
      </c>
    </row>
    <row r="12" spans="1:7" x14ac:dyDescent="0.35">
      <c r="A12" t="s">
        <v>73</v>
      </c>
      <c r="B12" t="s">
        <v>74</v>
      </c>
      <c r="C12" t="s">
        <v>75</v>
      </c>
      <c r="D12" t="s">
        <v>76</v>
      </c>
      <c r="E12" t="s">
        <v>77</v>
      </c>
      <c r="F12" t="s">
        <v>78</v>
      </c>
      <c r="G12" t="s">
        <v>79</v>
      </c>
    </row>
    <row r="13" spans="1:7" x14ac:dyDescent="0.35">
      <c r="A13" t="s">
        <v>80</v>
      </c>
      <c r="B13" t="s">
        <v>81</v>
      </c>
      <c r="C13" t="s">
        <v>82</v>
      </c>
      <c r="D13" t="s">
        <v>83</v>
      </c>
      <c r="E13" t="s">
        <v>84</v>
      </c>
      <c r="F13" t="s">
        <v>85</v>
      </c>
      <c r="G13" t="s">
        <v>20</v>
      </c>
    </row>
    <row r="14" spans="1:7" x14ac:dyDescent="0.35">
      <c r="A14" t="s">
        <v>86</v>
      </c>
      <c r="B14" t="s">
        <v>87</v>
      </c>
      <c r="C14" t="s">
        <v>88</v>
      </c>
      <c r="D14" t="s">
        <v>89</v>
      </c>
      <c r="E14" t="s">
        <v>90</v>
      </c>
      <c r="F14" t="s">
        <v>91</v>
      </c>
      <c r="G14" t="s">
        <v>92</v>
      </c>
    </row>
    <row r="15" spans="1:7" x14ac:dyDescent="0.35">
      <c r="A15" t="s">
        <v>93</v>
      </c>
      <c r="B15" t="s">
        <v>94</v>
      </c>
      <c r="C15" t="s">
        <v>95</v>
      </c>
      <c r="D15" t="s">
        <v>96</v>
      </c>
      <c r="E15" t="s">
        <v>97</v>
      </c>
      <c r="F15" t="s">
        <v>98</v>
      </c>
      <c r="G15" t="s">
        <v>99</v>
      </c>
    </row>
    <row r="16" spans="1:7" x14ac:dyDescent="0.35">
      <c r="A16" t="s">
        <v>100</v>
      </c>
      <c r="B16" t="s">
        <v>101</v>
      </c>
      <c r="C16" t="s">
        <v>102</v>
      </c>
      <c r="D16" t="s">
        <v>103</v>
      </c>
      <c r="E16" t="s">
        <v>104</v>
      </c>
      <c r="F16" t="s">
        <v>105</v>
      </c>
      <c r="G16" t="s">
        <v>106</v>
      </c>
    </row>
    <row r="17" spans="1:7" x14ac:dyDescent="0.35">
      <c r="A17" t="s">
        <v>107</v>
      </c>
      <c r="B17" t="s">
        <v>108</v>
      </c>
      <c r="C17" t="s">
        <v>109</v>
      </c>
      <c r="D17" t="s">
        <v>89</v>
      </c>
      <c r="E17" t="s">
        <v>110</v>
      </c>
      <c r="F17" t="s">
        <v>111</v>
      </c>
      <c r="G17" t="s">
        <v>112</v>
      </c>
    </row>
    <row r="18" spans="1:7" x14ac:dyDescent="0.35">
      <c r="A18" t="s">
        <v>113</v>
      </c>
      <c r="B18" t="s">
        <v>114</v>
      </c>
      <c r="C18" t="s">
        <v>115</v>
      </c>
      <c r="D18" t="s">
        <v>116</v>
      </c>
      <c r="E18" t="s">
        <v>117</v>
      </c>
      <c r="F18" t="s">
        <v>118</v>
      </c>
      <c r="G18" t="s">
        <v>119</v>
      </c>
    </row>
    <row r="19" spans="1:7" x14ac:dyDescent="0.35">
      <c r="A19" t="s">
        <v>120</v>
      </c>
      <c r="B19" t="s">
        <v>121</v>
      </c>
      <c r="C19" t="s">
        <v>122</v>
      </c>
      <c r="D19" t="s">
        <v>123</v>
      </c>
      <c r="E19" t="s">
        <v>124</v>
      </c>
      <c r="F19" t="s">
        <v>125</v>
      </c>
      <c r="G19" t="s">
        <v>126</v>
      </c>
    </row>
    <row r="20" spans="1:7" x14ac:dyDescent="0.35">
      <c r="A20" t="s">
        <v>127</v>
      </c>
      <c r="B20" t="s">
        <v>127</v>
      </c>
      <c r="C20" t="s">
        <v>128</v>
      </c>
      <c r="D20" t="s">
        <v>129</v>
      </c>
      <c r="E20" t="s">
        <v>130</v>
      </c>
      <c r="F20" t="s">
        <v>131</v>
      </c>
      <c r="G20" t="s">
        <v>132</v>
      </c>
    </row>
    <row r="21" spans="1:7" x14ac:dyDescent="0.35">
      <c r="A21" t="s">
        <v>133</v>
      </c>
      <c r="B21" t="s">
        <v>134</v>
      </c>
      <c r="C21" t="s">
        <v>135</v>
      </c>
      <c r="D21" t="s">
        <v>136</v>
      </c>
      <c r="E21" t="s">
        <v>137</v>
      </c>
      <c r="F21" t="s">
        <v>138</v>
      </c>
      <c r="G21" t="s">
        <v>139</v>
      </c>
    </row>
    <row r="22" spans="1:7" x14ac:dyDescent="0.35">
      <c r="A22" t="s">
        <v>140</v>
      </c>
      <c r="B22" t="s">
        <v>141</v>
      </c>
      <c r="C22" t="s">
        <v>142</v>
      </c>
      <c r="D22" t="s">
        <v>143</v>
      </c>
      <c r="E22" t="s">
        <v>144</v>
      </c>
      <c r="F22" t="s">
        <v>145</v>
      </c>
      <c r="G22" t="s">
        <v>146</v>
      </c>
    </row>
    <row r="23" spans="1:7" x14ac:dyDescent="0.35">
      <c r="A23" t="s">
        <v>147</v>
      </c>
      <c r="B23" t="s">
        <v>148</v>
      </c>
      <c r="C23" t="s">
        <v>149</v>
      </c>
      <c r="D23" t="s">
        <v>150</v>
      </c>
      <c r="E23" t="s">
        <v>151</v>
      </c>
      <c r="F23" t="s">
        <v>152</v>
      </c>
      <c r="G23" t="s">
        <v>153</v>
      </c>
    </row>
    <row r="24" spans="1:7" x14ac:dyDescent="0.35">
      <c r="A24" t="s">
        <v>154</v>
      </c>
      <c r="B24" t="s">
        <v>155</v>
      </c>
      <c r="C24" t="s">
        <v>156</v>
      </c>
      <c r="D24" t="s">
        <v>157</v>
      </c>
      <c r="E24" t="s">
        <v>158</v>
      </c>
      <c r="F24" t="s">
        <v>159</v>
      </c>
      <c r="G24" t="s">
        <v>160</v>
      </c>
    </row>
    <row r="25" spans="1:7" x14ac:dyDescent="0.35">
      <c r="A25" t="s">
        <v>161</v>
      </c>
      <c r="B25" t="s">
        <v>161</v>
      </c>
      <c r="C25" t="s">
        <v>162</v>
      </c>
      <c r="D25" t="s">
        <v>69</v>
      </c>
      <c r="E25" t="s">
        <v>163</v>
      </c>
      <c r="F25" t="s">
        <v>164</v>
      </c>
      <c r="G25" t="s">
        <v>165</v>
      </c>
    </row>
    <row r="26" spans="1:7" x14ac:dyDescent="0.35">
      <c r="A26" t="s">
        <v>166</v>
      </c>
      <c r="B26" t="s">
        <v>167</v>
      </c>
      <c r="C26" t="s">
        <v>168</v>
      </c>
      <c r="D26" t="s">
        <v>169</v>
      </c>
      <c r="E26" t="s">
        <v>170</v>
      </c>
      <c r="F26" t="s">
        <v>171</v>
      </c>
      <c r="G26" t="s">
        <v>20</v>
      </c>
    </row>
    <row r="27" spans="1:7" x14ac:dyDescent="0.35">
      <c r="A27" t="s">
        <v>172</v>
      </c>
      <c r="B27" t="s">
        <v>173</v>
      </c>
      <c r="C27" t="s">
        <v>174</v>
      </c>
      <c r="D27" t="s">
        <v>83</v>
      </c>
      <c r="E27" t="s">
        <v>175</v>
      </c>
      <c r="F27" t="s">
        <v>176</v>
      </c>
      <c r="G27" t="s">
        <v>177</v>
      </c>
    </row>
    <row r="28" spans="1:7" x14ac:dyDescent="0.35">
      <c r="A28" t="s">
        <v>178</v>
      </c>
      <c r="B28" t="s">
        <v>179</v>
      </c>
      <c r="C28" t="s">
        <v>180</v>
      </c>
      <c r="D28" t="s">
        <v>181</v>
      </c>
      <c r="E28" t="s">
        <v>182</v>
      </c>
      <c r="F28" t="s">
        <v>183</v>
      </c>
      <c r="G28" t="s">
        <v>184</v>
      </c>
    </row>
    <row r="29" spans="1:7" x14ac:dyDescent="0.35">
      <c r="A29" t="s">
        <v>185</v>
      </c>
      <c r="B29" t="s">
        <v>186</v>
      </c>
      <c r="C29" t="s">
        <v>187</v>
      </c>
      <c r="D29" t="s">
        <v>188</v>
      </c>
      <c r="E29" t="s">
        <v>189</v>
      </c>
      <c r="F29" t="s">
        <v>190</v>
      </c>
      <c r="G29" t="s">
        <v>191</v>
      </c>
    </row>
    <row r="30" spans="1:7" x14ac:dyDescent="0.35">
      <c r="A30" t="s">
        <v>192</v>
      </c>
      <c r="B30" t="s">
        <v>193</v>
      </c>
      <c r="C30" t="s">
        <v>194</v>
      </c>
      <c r="D30" t="s">
        <v>195</v>
      </c>
      <c r="E30" t="s">
        <v>196</v>
      </c>
      <c r="F30" t="s">
        <v>197</v>
      </c>
      <c r="G30" t="s">
        <v>198</v>
      </c>
    </row>
    <row r="31" spans="1:7" x14ac:dyDescent="0.35">
      <c r="A31" t="s">
        <v>199</v>
      </c>
      <c r="B31" t="s">
        <v>200</v>
      </c>
      <c r="C31" t="s">
        <v>201</v>
      </c>
      <c r="D31" t="s">
        <v>83</v>
      </c>
      <c r="E31" t="s">
        <v>202</v>
      </c>
      <c r="F31" t="s">
        <v>203</v>
      </c>
      <c r="G31" t="s">
        <v>204</v>
      </c>
    </row>
    <row r="32" spans="1:7" x14ac:dyDescent="0.35">
      <c r="A32" t="s">
        <v>205</v>
      </c>
      <c r="B32" t="s">
        <v>206</v>
      </c>
      <c r="C32" t="s">
        <v>207</v>
      </c>
      <c r="D32" t="s">
        <v>24</v>
      </c>
      <c r="E32" t="s">
        <v>208</v>
      </c>
      <c r="F32" t="s">
        <v>209</v>
      </c>
      <c r="G32" t="s">
        <v>210</v>
      </c>
    </row>
    <row r="33" spans="1:7" x14ac:dyDescent="0.35">
      <c r="A33" t="s">
        <v>211</v>
      </c>
      <c r="B33" t="s">
        <v>212</v>
      </c>
      <c r="C33" t="s">
        <v>213</v>
      </c>
      <c r="D33" t="s">
        <v>10</v>
      </c>
      <c r="E33" t="s">
        <v>214</v>
      </c>
      <c r="F33" t="s">
        <v>215</v>
      </c>
      <c r="G33" t="s">
        <v>216</v>
      </c>
    </row>
    <row r="34" spans="1:7" x14ac:dyDescent="0.35">
      <c r="A34" t="s">
        <v>217</v>
      </c>
      <c r="B34" t="s">
        <v>218</v>
      </c>
      <c r="C34" t="s">
        <v>219</v>
      </c>
      <c r="D34" t="s">
        <v>220</v>
      </c>
      <c r="E34" t="s">
        <v>221</v>
      </c>
      <c r="F34" t="s">
        <v>222</v>
      </c>
      <c r="G34" t="s">
        <v>223</v>
      </c>
    </row>
    <row r="35" spans="1:7" x14ac:dyDescent="0.35">
      <c r="A35" t="s">
        <v>224</v>
      </c>
      <c r="B35" t="s">
        <v>225</v>
      </c>
      <c r="C35" t="s">
        <v>226</v>
      </c>
      <c r="D35" t="s">
        <v>227</v>
      </c>
      <c r="E35" t="s">
        <v>228</v>
      </c>
      <c r="F35" t="s">
        <v>229</v>
      </c>
      <c r="G35" t="s">
        <v>230</v>
      </c>
    </row>
    <row r="36" spans="1:7" x14ac:dyDescent="0.35">
      <c r="A36" t="s">
        <v>231</v>
      </c>
      <c r="B36" t="s">
        <v>232</v>
      </c>
      <c r="C36" t="s">
        <v>233</v>
      </c>
      <c r="D36" t="s">
        <v>49</v>
      </c>
      <c r="E36" t="s">
        <v>234</v>
      </c>
      <c r="F36" t="s">
        <v>235</v>
      </c>
      <c r="G36" t="s">
        <v>236</v>
      </c>
    </row>
    <row r="37" spans="1:7" x14ac:dyDescent="0.35">
      <c r="A37" t="s">
        <v>237</v>
      </c>
      <c r="B37" t="s">
        <v>238</v>
      </c>
      <c r="C37" t="s">
        <v>239</v>
      </c>
      <c r="D37" t="s">
        <v>49</v>
      </c>
      <c r="E37" t="s">
        <v>240</v>
      </c>
      <c r="F37" t="s">
        <v>241</v>
      </c>
      <c r="G37" t="s">
        <v>242</v>
      </c>
    </row>
    <row r="38" spans="1:7" x14ac:dyDescent="0.35">
      <c r="A38" t="s">
        <v>243</v>
      </c>
      <c r="B38" t="s">
        <v>244</v>
      </c>
      <c r="C38" t="s">
        <v>245</v>
      </c>
      <c r="D38" t="s">
        <v>31</v>
      </c>
      <c r="E38" t="s">
        <v>246</v>
      </c>
      <c r="F38" t="s">
        <v>247</v>
      </c>
      <c r="G38" t="s">
        <v>248</v>
      </c>
    </row>
    <row r="39" spans="1:7" x14ac:dyDescent="0.35">
      <c r="A39" t="s">
        <v>249</v>
      </c>
      <c r="B39" t="s">
        <v>250</v>
      </c>
      <c r="C39" t="s">
        <v>251</v>
      </c>
      <c r="D39" t="s">
        <v>31</v>
      </c>
      <c r="E39" t="s">
        <v>252</v>
      </c>
      <c r="F39" t="s">
        <v>253</v>
      </c>
      <c r="G39" t="s">
        <v>254</v>
      </c>
    </row>
    <row r="40" spans="1:7" x14ac:dyDescent="0.35">
      <c r="A40" t="s">
        <v>255</v>
      </c>
      <c r="B40" t="s">
        <v>255</v>
      </c>
      <c r="C40" t="s">
        <v>256</v>
      </c>
      <c r="D40" t="s">
        <v>257</v>
      </c>
      <c r="E40" t="s">
        <v>258</v>
      </c>
      <c r="F40" t="s">
        <v>259</v>
      </c>
      <c r="G40" t="s">
        <v>260</v>
      </c>
    </row>
    <row r="41" spans="1:7" x14ac:dyDescent="0.35">
      <c r="A41" t="s">
        <v>261</v>
      </c>
      <c r="B41" t="s">
        <v>262</v>
      </c>
      <c r="C41" t="s">
        <v>263</v>
      </c>
      <c r="D41" t="s">
        <v>116</v>
      </c>
      <c r="E41" t="s">
        <v>264</v>
      </c>
      <c r="F41" t="s">
        <v>265</v>
      </c>
      <c r="G41" t="s">
        <v>266</v>
      </c>
    </row>
    <row r="42" spans="1:7" x14ac:dyDescent="0.35">
      <c r="A42" t="s">
        <v>267</v>
      </c>
      <c r="B42" t="s">
        <v>268</v>
      </c>
      <c r="C42" t="s">
        <v>269</v>
      </c>
      <c r="D42" t="s">
        <v>31</v>
      </c>
      <c r="E42" t="s">
        <v>270</v>
      </c>
      <c r="F42" t="s">
        <v>271</v>
      </c>
      <c r="G42" t="s">
        <v>272</v>
      </c>
    </row>
    <row r="43" spans="1:7" x14ac:dyDescent="0.35">
      <c r="A43" t="s">
        <v>273</v>
      </c>
      <c r="B43" t="s">
        <v>274</v>
      </c>
      <c r="C43" t="s">
        <v>275</v>
      </c>
      <c r="D43" t="s">
        <v>257</v>
      </c>
      <c r="E43" t="s">
        <v>276</v>
      </c>
      <c r="F43" t="s">
        <v>277</v>
      </c>
      <c r="G43" t="s">
        <v>278</v>
      </c>
    </row>
    <row r="44" spans="1:7" x14ac:dyDescent="0.35">
      <c r="A44" t="s">
        <v>279</v>
      </c>
      <c r="B44" t="s">
        <v>280</v>
      </c>
      <c r="C44" t="s">
        <v>281</v>
      </c>
      <c r="D44" t="s">
        <v>282</v>
      </c>
      <c r="E44" t="s">
        <v>283</v>
      </c>
      <c r="F44" t="s">
        <v>284</v>
      </c>
      <c r="G44" t="s">
        <v>285</v>
      </c>
    </row>
    <row r="45" spans="1:7" x14ac:dyDescent="0.35">
      <c r="A45" t="s">
        <v>286</v>
      </c>
      <c r="B45" t="s">
        <v>287</v>
      </c>
      <c r="C45" t="s">
        <v>288</v>
      </c>
      <c r="D45" t="s">
        <v>257</v>
      </c>
      <c r="E45" t="s">
        <v>289</v>
      </c>
      <c r="F45" t="s">
        <v>290</v>
      </c>
      <c r="G45" t="s">
        <v>291</v>
      </c>
    </row>
    <row r="46" spans="1:7" x14ac:dyDescent="0.35">
      <c r="A46" t="s">
        <v>292</v>
      </c>
      <c r="B46" t="s">
        <v>293</v>
      </c>
      <c r="C46" t="s">
        <v>294</v>
      </c>
      <c r="D46" t="s">
        <v>295</v>
      </c>
      <c r="E46" t="s">
        <v>296</v>
      </c>
      <c r="F46" t="s">
        <v>297</v>
      </c>
      <c r="G46" t="s">
        <v>298</v>
      </c>
    </row>
    <row r="47" spans="1:7" x14ac:dyDescent="0.35">
      <c r="A47" t="s">
        <v>299</v>
      </c>
      <c r="B47" t="s">
        <v>300</v>
      </c>
      <c r="C47" t="s">
        <v>301</v>
      </c>
      <c r="D47" t="s">
        <v>302</v>
      </c>
      <c r="E47" t="s">
        <v>303</v>
      </c>
      <c r="F47" t="s">
        <v>304</v>
      </c>
      <c r="G47" t="s">
        <v>305</v>
      </c>
    </row>
    <row r="48" spans="1:7" x14ac:dyDescent="0.35">
      <c r="A48" t="s">
        <v>306</v>
      </c>
      <c r="B48" t="s">
        <v>307</v>
      </c>
      <c r="C48" t="s">
        <v>308</v>
      </c>
      <c r="D48" t="s">
        <v>309</v>
      </c>
      <c r="E48" t="s">
        <v>310</v>
      </c>
      <c r="F48" t="s">
        <v>311</v>
      </c>
      <c r="G48" t="s">
        <v>153</v>
      </c>
    </row>
    <row r="49" spans="1:7" x14ac:dyDescent="0.35">
      <c r="A49" t="s">
        <v>312</v>
      </c>
      <c r="B49" t="s">
        <v>313</v>
      </c>
      <c r="C49" t="s">
        <v>314</v>
      </c>
      <c r="D49" t="s">
        <v>315</v>
      </c>
      <c r="E49" t="s">
        <v>316</v>
      </c>
      <c r="F49" t="s">
        <v>317</v>
      </c>
      <c r="G49" t="s">
        <v>318</v>
      </c>
    </row>
    <row r="50" spans="1:7" x14ac:dyDescent="0.35">
      <c r="A50" t="s">
        <v>319</v>
      </c>
      <c r="B50" t="s">
        <v>320</v>
      </c>
      <c r="C50" t="s">
        <v>321</v>
      </c>
      <c r="D50" t="s">
        <v>322</v>
      </c>
      <c r="E50" t="s">
        <v>323</v>
      </c>
      <c r="F50" t="s">
        <v>324</v>
      </c>
      <c r="G50" t="s">
        <v>325</v>
      </c>
    </row>
    <row r="51" spans="1:7" x14ac:dyDescent="0.35">
      <c r="A51" t="s">
        <v>326</v>
      </c>
      <c r="B51" t="s">
        <v>327</v>
      </c>
      <c r="C51" t="s">
        <v>328</v>
      </c>
      <c r="D51" t="s">
        <v>329</v>
      </c>
      <c r="E51" t="s">
        <v>330</v>
      </c>
      <c r="F51" t="s">
        <v>331</v>
      </c>
      <c r="G51" t="s">
        <v>332</v>
      </c>
    </row>
    <row r="52" spans="1:7" x14ac:dyDescent="0.35">
      <c r="A52" t="s">
        <v>333</v>
      </c>
      <c r="B52" t="s">
        <v>334</v>
      </c>
      <c r="C52" t="s">
        <v>335</v>
      </c>
      <c r="D52" t="s">
        <v>336</v>
      </c>
      <c r="E52" t="s">
        <v>337</v>
      </c>
      <c r="F52" t="s">
        <v>338</v>
      </c>
      <c r="G52" t="s">
        <v>339</v>
      </c>
    </row>
    <row r="53" spans="1:7" x14ac:dyDescent="0.35">
      <c r="A53" t="s">
        <v>340</v>
      </c>
      <c r="B53" t="s">
        <v>341</v>
      </c>
      <c r="C53" t="s">
        <v>342</v>
      </c>
      <c r="D53" t="s">
        <v>343</v>
      </c>
      <c r="E53" t="s">
        <v>344</v>
      </c>
      <c r="F53" t="s">
        <v>345</v>
      </c>
      <c r="G53" t="s">
        <v>346</v>
      </c>
    </row>
    <row r="54" spans="1:7" x14ac:dyDescent="0.35">
      <c r="A54" t="s">
        <v>347</v>
      </c>
      <c r="B54" t="s">
        <v>348</v>
      </c>
      <c r="C54" t="s">
        <v>349</v>
      </c>
      <c r="D54" t="s">
        <v>350</v>
      </c>
      <c r="E54" t="s">
        <v>351</v>
      </c>
      <c r="F54" t="s">
        <v>352</v>
      </c>
      <c r="G54" t="s">
        <v>353</v>
      </c>
    </row>
    <row r="55" spans="1:7" x14ac:dyDescent="0.35">
      <c r="A55" t="s">
        <v>354</v>
      </c>
      <c r="B55" t="s">
        <v>355</v>
      </c>
      <c r="C55" t="s">
        <v>356</v>
      </c>
      <c r="D55" t="s">
        <v>357</v>
      </c>
      <c r="E55" t="s">
        <v>358</v>
      </c>
      <c r="F55" t="s">
        <v>359</v>
      </c>
      <c r="G55" t="s">
        <v>360</v>
      </c>
    </row>
    <row r="56" spans="1:7" x14ac:dyDescent="0.35">
      <c r="A56" t="s">
        <v>361</v>
      </c>
      <c r="B56" t="s">
        <v>362</v>
      </c>
      <c r="C56" t="s">
        <v>363</v>
      </c>
      <c r="D56" t="s">
        <v>364</v>
      </c>
      <c r="E56" t="s">
        <v>365</v>
      </c>
      <c r="F56" t="s">
        <v>366</v>
      </c>
      <c r="G56" t="s">
        <v>367</v>
      </c>
    </row>
    <row r="57" spans="1:7" x14ac:dyDescent="0.35">
      <c r="A57" t="s">
        <v>368</v>
      </c>
      <c r="B57" t="s">
        <v>369</v>
      </c>
      <c r="C57" t="s">
        <v>370</v>
      </c>
      <c r="D57" t="s">
        <v>31</v>
      </c>
      <c r="E57" t="s">
        <v>371</v>
      </c>
      <c r="F57" t="s">
        <v>372</v>
      </c>
      <c r="G57" t="s">
        <v>373</v>
      </c>
    </row>
    <row r="58" spans="1:7" x14ac:dyDescent="0.35">
      <c r="A58" t="s">
        <v>374</v>
      </c>
      <c r="B58" t="s">
        <v>375</v>
      </c>
      <c r="C58" t="s">
        <v>376</v>
      </c>
      <c r="D58" t="s">
        <v>377</v>
      </c>
      <c r="E58" t="s">
        <v>378</v>
      </c>
      <c r="F58" t="s">
        <v>379</v>
      </c>
      <c r="G58" t="s">
        <v>380</v>
      </c>
    </row>
    <row r="59" spans="1:7" x14ac:dyDescent="0.35">
      <c r="A59" t="s">
        <v>381</v>
      </c>
      <c r="B59" t="s">
        <v>382</v>
      </c>
      <c r="C59" t="s">
        <v>383</v>
      </c>
      <c r="D59" t="s">
        <v>49</v>
      </c>
      <c r="E59" t="s">
        <v>384</v>
      </c>
      <c r="F59" t="s">
        <v>385</v>
      </c>
      <c r="G59" t="s">
        <v>386</v>
      </c>
    </row>
    <row r="60" spans="1:7" x14ac:dyDescent="0.35">
      <c r="A60" t="s">
        <v>387</v>
      </c>
      <c r="B60" t="s">
        <v>388</v>
      </c>
      <c r="C60" t="s">
        <v>389</v>
      </c>
      <c r="D60" t="s">
        <v>390</v>
      </c>
      <c r="E60" t="s">
        <v>391</v>
      </c>
      <c r="F60" t="s">
        <v>392</v>
      </c>
      <c r="G60" t="s">
        <v>393</v>
      </c>
    </row>
    <row r="61" spans="1:7" x14ac:dyDescent="0.35">
      <c r="A61" t="s">
        <v>394</v>
      </c>
      <c r="B61" t="s">
        <v>395</v>
      </c>
      <c r="C61" t="s">
        <v>396</v>
      </c>
      <c r="D61" t="s">
        <v>397</v>
      </c>
      <c r="E61" t="s">
        <v>398</v>
      </c>
      <c r="F61" t="s">
        <v>399</v>
      </c>
      <c r="G61" t="s">
        <v>400</v>
      </c>
    </row>
    <row r="62" spans="1:7" x14ac:dyDescent="0.35">
      <c r="A62" t="s">
        <v>401</v>
      </c>
      <c r="B62" t="s">
        <v>402</v>
      </c>
      <c r="C62" t="s">
        <v>403</v>
      </c>
      <c r="D62" t="s">
        <v>404</v>
      </c>
      <c r="E62" t="s">
        <v>405</v>
      </c>
      <c r="F62" t="s">
        <v>406</v>
      </c>
      <c r="G62" t="s">
        <v>407</v>
      </c>
    </row>
    <row r="63" spans="1:7" x14ac:dyDescent="0.35">
      <c r="A63" t="s">
        <v>408</v>
      </c>
      <c r="B63" t="s">
        <v>409</v>
      </c>
      <c r="C63" t="s">
        <v>410</v>
      </c>
      <c r="D63" t="s">
        <v>411</v>
      </c>
      <c r="E63" t="s">
        <v>412</v>
      </c>
      <c r="F63" t="s">
        <v>413</v>
      </c>
      <c r="G63" t="s">
        <v>414</v>
      </c>
    </row>
    <row r="64" spans="1:7" x14ac:dyDescent="0.35">
      <c r="A64" t="s">
        <v>415</v>
      </c>
      <c r="B64" t="s">
        <v>416</v>
      </c>
      <c r="C64" t="s">
        <v>417</v>
      </c>
      <c r="D64" t="s">
        <v>129</v>
      </c>
      <c r="E64" t="s">
        <v>418</v>
      </c>
      <c r="F64" t="s">
        <v>419</v>
      </c>
      <c r="G64" t="s">
        <v>420</v>
      </c>
    </row>
    <row r="65" spans="1:7" x14ac:dyDescent="0.35">
      <c r="A65" t="s">
        <v>421</v>
      </c>
      <c r="B65" t="s">
        <v>422</v>
      </c>
      <c r="C65" t="s">
        <v>423</v>
      </c>
      <c r="D65" t="s">
        <v>424</v>
      </c>
      <c r="E65" t="s">
        <v>425</v>
      </c>
      <c r="F65" t="s">
        <v>426</v>
      </c>
      <c r="G65" t="s">
        <v>427</v>
      </c>
    </row>
    <row r="66" spans="1:7" x14ac:dyDescent="0.35">
      <c r="A66" t="s">
        <v>428</v>
      </c>
      <c r="B66" t="s">
        <v>429</v>
      </c>
      <c r="C66" t="s">
        <v>430</v>
      </c>
      <c r="D66" t="s">
        <v>49</v>
      </c>
      <c r="E66" t="s">
        <v>431</v>
      </c>
      <c r="F66" t="s">
        <v>432</v>
      </c>
      <c r="G66" t="s">
        <v>433</v>
      </c>
    </row>
    <row r="67" spans="1:7" x14ac:dyDescent="0.35">
      <c r="A67" t="s">
        <v>434</v>
      </c>
      <c r="B67" t="s">
        <v>434</v>
      </c>
      <c r="C67" t="s">
        <v>435</v>
      </c>
      <c r="D67" t="s">
        <v>436</v>
      </c>
      <c r="E67" t="s">
        <v>437</v>
      </c>
      <c r="F67" t="s">
        <v>438</v>
      </c>
      <c r="G67" t="s">
        <v>439</v>
      </c>
    </row>
    <row r="68" spans="1:7" x14ac:dyDescent="0.35">
      <c r="A68" t="s">
        <v>440</v>
      </c>
      <c r="B68" t="s">
        <v>441</v>
      </c>
      <c r="C68" t="s">
        <v>442</v>
      </c>
      <c r="D68" t="s">
        <v>443</v>
      </c>
      <c r="E68" t="s">
        <v>444</v>
      </c>
      <c r="F68" t="s">
        <v>445</v>
      </c>
      <c r="G68" t="s">
        <v>446</v>
      </c>
    </row>
    <row r="69" spans="1:7" x14ac:dyDescent="0.35">
      <c r="A69" t="s">
        <v>447</v>
      </c>
      <c r="B69" t="s">
        <v>448</v>
      </c>
      <c r="C69" t="s">
        <v>449</v>
      </c>
      <c r="D69" t="s">
        <v>49</v>
      </c>
      <c r="E69" t="s">
        <v>450</v>
      </c>
      <c r="F69" t="s">
        <v>451</v>
      </c>
      <c r="G69" t="s">
        <v>452</v>
      </c>
    </row>
    <row r="70" spans="1:7" x14ac:dyDescent="0.35">
      <c r="A70" t="s">
        <v>453</v>
      </c>
      <c r="B70" t="s">
        <v>454</v>
      </c>
      <c r="C70" t="s">
        <v>455</v>
      </c>
      <c r="D70" t="s">
        <v>456</v>
      </c>
      <c r="E70" t="s">
        <v>457</v>
      </c>
      <c r="F70" t="s">
        <v>458</v>
      </c>
      <c r="G70" t="s">
        <v>459</v>
      </c>
    </row>
    <row r="71" spans="1:7" x14ac:dyDescent="0.35">
      <c r="A71" t="s">
        <v>460</v>
      </c>
      <c r="B71" t="s">
        <v>461</v>
      </c>
      <c r="C71" t="s">
        <v>462</v>
      </c>
      <c r="D71" t="s">
        <v>463</v>
      </c>
      <c r="E71" t="s">
        <v>464</v>
      </c>
      <c r="F71" t="s">
        <v>465</v>
      </c>
      <c r="G71" t="s">
        <v>466</v>
      </c>
    </row>
    <row r="72" spans="1:7" x14ac:dyDescent="0.35">
      <c r="A72" t="s">
        <v>467</v>
      </c>
      <c r="B72" t="s">
        <v>467</v>
      </c>
      <c r="C72" t="s">
        <v>468</v>
      </c>
      <c r="D72" t="s">
        <v>397</v>
      </c>
      <c r="E72" t="s">
        <v>469</v>
      </c>
      <c r="F72" t="s">
        <v>470</v>
      </c>
      <c r="G72" t="s">
        <v>471</v>
      </c>
    </row>
    <row r="73" spans="1:7" x14ac:dyDescent="0.35">
      <c r="A73" t="s">
        <v>472</v>
      </c>
      <c r="B73" t="s">
        <v>472</v>
      </c>
      <c r="C73" t="s">
        <v>473</v>
      </c>
      <c r="D73" t="s">
        <v>474</v>
      </c>
      <c r="E73" t="s">
        <v>475</v>
      </c>
      <c r="F73" t="s">
        <v>476</v>
      </c>
      <c r="G73" t="s">
        <v>477</v>
      </c>
    </row>
    <row r="74" spans="1:7" x14ac:dyDescent="0.35">
      <c r="A74" t="s">
        <v>478</v>
      </c>
      <c r="B74" t="s">
        <v>479</v>
      </c>
      <c r="C74" t="s">
        <v>480</v>
      </c>
      <c r="D74" t="s">
        <v>481</v>
      </c>
      <c r="E74" t="s">
        <v>482</v>
      </c>
      <c r="F74" t="s">
        <v>483</v>
      </c>
      <c r="G74" t="s">
        <v>484</v>
      </c>
    </row>
    <row r="75" spans="1:7" x14ac:dyDescent="0.35">
      <c r="A75" t="s">
        <v>485</v>
      </c>
      <c r="B75" t="s">
        <v>486</v>
      </c>
      <c r="C75" t="s">
        <v>487</v>
      </c>
      <c r="D75" t="s">
        <v>443</v>
      </c>
      <c r="E75" t="s">
        <v>488</v>
      </c>
      <c r="F75" t="s">
        <v>489</v>
      </c>
      <c r="G75" t="s">
        <v>490</v>
      </c>
    </row>
    <row r="76" spans="1:7" x14ac:dyDescent="0.35">
      <c r="A76" t="s">
        <v>491</v>
      </c>
      <c r="B76" t="s">
        <v>492</v>
      </c>
      <c r="C76" t="s">
        <v>493</v>
      </c>
      <c r="D76" t="s">
        <v>494</v>
      </c>
      <c r="E76" t="s">
        <v>495</v>
      </c>
      <c r="F76" t="s">
        <v>496</v>
      </c>
      <c r="G76" t="s">
        <v>497</v>
      </c>
    </row>
    <row r="77" spans="1:7" x14ac:dyDescent="0.35">
      <c r="A77" t="s">
        <v>498</v>
      </c>
      <c r="B77" t="s">
        <v>499</v>
      </c>
      <c r="C77" t="s">
        <v>500</v>
      </c>
      <c r="D77" t="s">
        <v>501</v>
      </c>
      <c r="E77" t="s">
        <v>502</v>
      </c>
      <c r="F77" t="s">
        <v>503</v>
      </c>
      <c r="G77" t="s">
        <v>504</v>
      </c>
    </row>
    <row r="78" spans="1:7" x14ac:dyDescent="0.35">
      <c r="A78" t="s">
        <v>505</v>
      </c>
      <c r="B78" t="s">
        <v>506</v>
      </c>
      <c r="C78" t="s">
        <v>507</v>
      </c>
      <c r="D78" t="s">
        <v>10</v>
      </c>
      <c r="E78" t="s">
        <v>508</v>
      </c>
      <c r="F78" t="s">
        <v>509</v>
      </c>
      <c r="G78" t="s">
        <v>510</v>
      </c>
    </row>
    <row r="79" spans="1:7" x14ac:dyDescent="0.35">
      <c r="A79" t="s">
        <v>511</v>
      </c>
      <c r="B79" t="s">
        <v>512</v>
      </c>
      <c r="C79" t="s">
        <v>513</v>
      </c>
      <c r="D79" t="s">
        <v>514</v>
      </c>
      <c r="E79" t="s">
        <v>515</v>
      </c>
      <c r="F79" t="s">
        <v>516</v>
      </c>
      <c r="G79" t="s">
        <v>517</v>
      </c>
    </row>
    <row r="80" spans="1:7" x14ac:dyDescent="0.35">
      <c r="A80" t="s">
        <v>518</v>
      </c>
      <c r="B80" t="s">
        <v>519</v>
      </c>
      <c r="C80" t="s">
        <v>520</v>
      </c>
      <c r="D80" t="s">
        <v>329</v>
      </c>
      <c r="E80" t="s">
        <v>521</v>
      </c>
      <c r="F80" t="s">
        <v>522</v>
      </c>
      <c r="G80" t="s">
        <v>523</v>
      </c>
    </row>
    <row r="81" spans="1:7" x14ac:dyDescent="0.35">
      <c r="A81" t="s">
        <v>524</v>
      </c>
      <c r="B81" t="s">
        <v>525</v>
      </c>
      <c r="C81" t="s">
        <v>526</v>
      </c>
      <c r="D81" t="s">
        <v>527</v>
      </c>
      <c r="E81" t="s">
        <v>528</v>
      </c>
      <c r="F81" t="s">
        <v>529</v>
      </c>
      <c r="G81" t="s">
        <v>530</v>
      </c>
    </row>
    <row r="82" spans="1:7" x14ac:dyDescent="0.35">
      <c r="A82" t="s">
        <v>531</v>
      </c>
      <c r="B82" t="s">
        <v>532</v>
      </c>
      <c r="C82" t="s">
        <v>533</v>
      </c>
      <c r="D82" t="s">
        <v>534</v>
      </c>
      <c r="E82" t="s">
        <v>535</v>
      </c>
      <c r="F82" t="s">
        <v>536</v>
      </c>
      <c r="G82" t="s">
        <v>537</v>
      </c>
    </row>
    <row r="83" spans="1:7" x14ac:dyDescent="0.35">
      <c r="A83" t="s">
        <v>538</v>
      </c>
      <c r="B83" t="s">
        <v>539</v>
      </c>
      <c r="C83" t="s">
        <v>540</v>
      </c>
      <c r="D83" t="s">
        <v>295</v>
      </c>
      <c r="E83" t="s">
        <v>541</v>
      </c>
      <c r="F83" t="s">
        <v>542</v>
      </c>
      <c r="G83" t="s">
        <v>543</v>
      </c>
    </row>
    <row r="84" spans="1:7" x14ac:dyDescent="0.35">
      <c r="A84" t="s">
        <v>544</v>
      </c>
      <c r="B84" t="s">
        <v>545</v>
      </c>
      <c r="C84" t="s">
        <v>546</v>
      </c>
      <c r="D84" t="s">
        <v>547</v>
      </c>
      <c r="E84" t="s">
        <v>548</v>
      </c>
      <c r="F84" t="s">
        <v>549</v>
      </c>
      <c r="G84" t="s">
        <v>550</v>
      </c>
    </row>
    <row r="85" spans="1:7" x14ac:dyDescent="0.35">
      <c r="A85" t="s">
        <v>551</v>
      </c>
      <c r="B85" t="s">
        <v>552</v>
      </c>
      <c r="C85" t="s">
        <v>553</v>
      </c>
      <c r="D85" t="s">
        <v>554</v>
      </c>
      <c r="E85" t="s">
        <v>555</v>
      </c>
      <c r="F85" t="s">
        <v>556</v>
      </c>
      <c r="G85" t="s">
        <v>557</v>
      </c>
    </row>
    <row r="86" spans="1:7" x14ac:dyDescent="0.35">
      <c r="A86" t="s">
        <v>558</v>
      </c>
      <c r="B86" t="s">
        <v>559</v>
      </c>
      <c r="C86" t="s">
        <v>560</v>
      </c>
      <c r="D86" t="s">
        <v>561</v>
      </c>
      <c r="E86" t="s">
        <v>562</v>
      </c>
      <c r="F86" t="s">
        <v>563</v>
      </c>
      <c r="G86" t="s">
        <v>564</v>
      </c>
    </row>
    <row r="87" spans="1:7" x14ac:dyDescent="0.35">
      <c r="A87" t="s">
        <v>565</v>
      </c>
      <c r="B87" t="s">
        <v>566</v>
      </c>
      <c r="C87" t="s">
        <v>567</v>
      </c>
      <c r="D87" t="s">
        <v>568</v>
      </c>
      <c r="E87" t="s">
        <v>569</v>
      </c>
      <c r="F87" t="s">
        <v>570</v>
      </c>
      <c r="G87" t="s">
        <v>571</v>
      </c>
    </row>
    <row r="88" spans="1:7" x14ac:dyDescent="0.35">
      <c r="A88" t="s">
        <v>572</v>
      </c>
      <c r="B88" t="s">
        <v>573</v>
      </c>
      <c r="C88" t="s">
        <v>574</v>
      </c>
      <c r="D88" t="s">
        <v>575</v>
      </c>
      <c r="E88" t="s">
        <v>576</v>
      </c>
      <c r="F88" t="s">
        <v>577</v>
      </c>
      <c r="G88" t="s">
        <v>578</v>
      </c>
    </row>
    <row r="89" spans="1:7" x14ac:dyDescent="0.35">
      <c r="A89" t="s">
        <v>579</v>
      </c>
      <c r="B89" t="s">
        <v>580</v>
      </c>
      <c r="C89" t="s">
        <v>581</v>
      </c>
      <c r="D89" t="s">
        <v>329</v>
      </c>
      <c r="E89" t="s">
        <v>582</v>
      </c>
      <c r="F89" t="s">
        <v>583</v>
      </c>
      <c r="G89" t="s">
        <v>584</v>
      </c>
    </row>
    <row r="90" spans="1:7" x14ac:dyDescent="0.35">
      <c r="A90" t="s">
        <v>585</v>
      </c>
      <c r="B90" t="s">
        <v>586</v>
      </c>
      <c r="C90" t="s">
        <v>587</v>
      </c>
      <c r="D90" t="s">
        <v>588</v>
      </c>
      <c r="E90" t="s">
        <v>589</v>
      </c>
      <c r="F90" t="s">
        <v>590</v>
      </c>
      <c r="G90" t="s">
        <v>591</v>
      </c>
    </row>
    <row r="91" spans="1:7" x14ac:dyDescent="0.35">
      <c r="A91" t="s">
        <v>592</v>
      </c>
      <c r="B91" t="s">
        <v>592</v>
      </c>
      <c r="C91" t="s">
        <v>593</v>
      </c>
      <c r="D91" t="s">
        <v>594</v>
      </c>
      <c r="E91" t="s">
        <v>595</v>
      </c>
      <c r="F91" t="s">
        <v>596</v>
      </c>
      <c r="G91" t="s">
        <v>597</v>
      </c>
    </row>
    <row r="92" spans="1:7" x14ac:dyDescent="0.35">
      <c r="A92" t="s">
        <v>598</v>
      </c>
      <c r="B92" t="s">
        <v>599</v>
      </c>
      <c r="C92" t="s">
        <v>600</v>
      </c>
      <c r="D92" t="s">
        <v>601</v>
      </c>
      <c r="E92" t="s">
        <v>602</v>
      </c>
      <c r="F92" t="s">
        <v>603</v>
      </c>
      <c r="G92" t="s">
        <v>604</v>
      </c>
    </row>
    <row r="93" spans="1:7" x14ac:dyDescent="0.35">
      <c r="A93" t="s">
        <v>605</v>
      </c>
      <c r="B93" t="s">
        <v>606</v>
      </c>
      <c r="C93" t="s">
        <v>607</v>
      </c>
      <c r="D93" t="s">
        <v>608</v>
      </c>
      <c r="E93" t="s">
        <v>609</v>
      </c>
      <c r="F93" t="s">
        <v>610</v>
      </c>
      <c r="G93" t="s">
        <v>611</v>
      </c>
    </row>
    <row r="94" spans="1:7" x14ac:dyDescent="0.35">
      <c r="A94" t="s">
        <v>612</v>
      </c>
      <c r="B94" t="s">
        <v>613</v>
      </c>
      <c r="C94" t="s">
        <v>614</v>
      </c>
      <c r="D94" t="s">
        <v>615</v>
      </c>
      <c r="E94" t="s">
        <v>616</v>
      </c>
      <c r="F94" t="s">
        <v>617</v>
      </c>
      <c r="G94" t="s">
        <v>618</v>
      </c>
    </row>
    <row r="95" spans="1:7" x14ac:dyDescent="0.35">
      <c r="A95" t="s">
        <v>619</v>
      </c>
      <c r="B95" t="s">
        <v>620</v>
      </c>
      <c r="C95" t="s">
        <v>621</v>
      </c>
      <c r="D95" t="s">
        <v>622</v>
      </c>
      <c r="E95" t="s">
        <v>623</v>
      </c>
      <c r="F95" t="s">
        <v>624</v>
      </c>
      <c r="G95" t="s">
        <v>625</v>
      </c>
    </row>
    <row r="96" spans="1:7" x14ac:dyDescent="0.35">
      <c r="A96" t="s">
        <v>626</v>
      </c>
      <c r="B96" t="s">
        <v>627</v>
      </c>
      <c r="C96" t="s">
        <v>628</v>
      </c>
      <c r="D96" t="s">
        <v>629</v>
      </c>
      <c r="E96" t="s">
        <v>630</v>
      </c>
      <c r="F96" t="s">
        <v>631</v>
      </c>
      <c r="G96" t="s">
        <v>632</v>
      </c>
    </row>
    <row r="97" spans="1:7" x14ac:dyDescent="0.35">
      <c r="A97" t="s">
        <v>633</v>
      </c>
      <c r="B97" t="s">
        <v>634</v>
      </c>
      <c r="C97" t="s">
        <v>635</v>
      </c>
      <c r="D97" t="s">
        <v>31</v>
      </c>
      <c r="E97" t="s">
        <v>636</v>
      </c>
      <c r="F97" t="s">
        <v>637</v>
      </c>
      <c r="G97" t="s">
        <v>638</v>
      </c>
    </row>
    <row r="98" spans="1:7" x14ac:dyDescent="0.35">
      <c r="A98" t="s">
        <v>639</v>
      </c>
      <c r="B98" t="s">
        <v>640</v>
      </c>
      <c r="C98" t="s">
        <v>641</v>
      </c>
      <c r="D98" t="s">
        <v>31</v>
      </c>
      <c r="E98" t="s">
        <v>642</v>
      </c>
      <c r="F98" t="s">
        <v>643</v>
      </c>
      <c r="G98" t="s">
        <v>644</v>
      </c>
    </row>
    <row r="99" spans="1:7" x14ac:dyDescent="0.35">
      <c r="A99" t="s">
        <v>645</v>
      </c>
      <c r="B99" t="s">
        <v>646</v>
      </c>
      <c r="C99" t="s">
        <v>48</v>
      </c>
      <c r="D99" t="s">
        <v>31</v>
      </c>
      <c r="E99" t="s">
        <v>647</v>
      </c>
      <c r="F99" t="s">
        <v>648</v>
      </c>
      <c r="G99" t="s">
        <v>649</v>
      </c>
    </row>
    <row r="100" spans="1:7" x14ac:dyDescent="0.35">
      <c r="A100" t="s">
        <v>650</v>
      </c>
      <c r="B100" t="s">
        <v>650</v>
      </c>
      <c r="C100" t="s">
        <v>651</v>
      </c>
      <c r="D100" t="s">
        <v>329</v>
      </c>
      <c r="E100" t="s">
        <v>652</v>
      </c>
      <c r="F100" t="s">
        <v>653</v>
      </c>
      <c r="G100" t="s">
        <v>654</v>
      </c>
    </row>
    <row r="101" spans="1:7" x14ac:dyDescent="0.35">
      <c r="A101" t="s">
        <v>655</v>
      </c>
      <c r="B101" t="s">
        <v>656</v>
      </c>
      <c r="C101" t="s">
        <v>657</v>
      </c>
      <c r="D101" t="s">
        <v>658</v>
      </c>
      <c r="E101" t="s">
        <v>659</v>
      </c>
      <c r="F101" t="s">
        <v>660</v>
      </c>
      <c r="G101" t="s">
        <v>661</v>
      </c>
    </row>
    <row r="102" spans="1:7" x14ac:dyDescent="0.35">
      <c r="A102" t="s">
        <v>662</v>
      </c>
      <c r="B102" t="s">
        <v>663</v>
      </c>
      <c r="C102" t="s">
        <v>664</v>
      </c>
      <c r="D102" t="s">
        <v>665</v>
      </c>
      <c r="E102" t="s">
        <v>666</v>
      </c>
      <c r="F102" t="s">
        <v>667</v>
      </c>
      <c r="G102" t="s">
        <v>668</v>
      </c>
    </row>
    <row r="103" spans="1:7" x14ac:dyDescent="0.35">
      <c r="A103" t="s">
        <v>669</v>
      </c>
      <c r="B103" t="s">
        <v>670</v>
      </c>
      <c r="C103" t="s">
        <v>671</v>
      </c>
      <c r="D103" t="s">
        <v>672</v>
      </c>
      <c r="E103" t="s">
        <v>673</v>
      </c>
      <c r="F103" t="s">
        <v>674</v>
      </c>
      <c r="G103" t="s">
        <v>675</v>
      </c>
    </row>
    <row r="104" spans="1:7" x14ac:dyDescent="0.35">
      <c r="A104" t="s">
        <v>676</v>
      </c>
      <c r="B104" t="s">
        <v>677</v>
      </c>
      <c r="C104" t="s">
        <v>678</v>
      </c>
      <c r="D104" t="s">
        <v>679</v>
      </c>
      <c r="E104" t="s">
        <v>680</v>
      </c>
      <c r="F104" t="s">
        <v>681</v>
      </c>
      <c r="G104" t="s">
        <v>682</v>
      </c>
    </row>
    <row r="105" spans="1:7" x14ac:dyDescent="0.35">
      <c r="A105" t="s">
        <v>683</v>
      </c>
      <c r="B105" t="s">
        <v>684</v>
      </c>
      <c r="C105" t="s">
        <v>685</v>
      </c>
      <c r="D105" t="s">
        <v>686</v>
      </c>
      <c r="E105" t="s">
        <v>687</v>
      </c>
      <c r="F105" t="s">
        <v>688</v>
      </c>
      <c r="G105" t="s">
        <v>689</v>
      </c>
    </row>
    <row r="106" spans="1:7" x14ac:dyDescent="0.35">
      <c r="A106" t="s">
        <v>690</v>
      </c>
      <c r="B106" t="s">
        <v>691</v>
      </c>
      <c r="C106" t="s">
        <v>692</v>
      </c>
      <c r="D106" t="s">
        <v>31</v>
      </c>
      <c r="E106" t="s">
        <v>693</v>
      </c>
      <c r="F106" t="s">
        <v>694</v>
      </c>
      <c r="G106" t="s">
        <v>695</v>
      </c>
    </row>
    <row r="107" spans="1:7" x14ac:dyDescent="0.35">
      <c r="A107" t="s">
        <v>696</v>
      </c>
      <c r="B107" t="s">
        <v>697</v>
      </c>
      <c r="C107" t="s">
        <v>698</v>
      </c>
      <c r="D107" t="s">
        <v>169</v>
      </c>
      <c r="E107" t="s">
        <v>699</v>
      </c>
      <c r="F107" t="s">
        <v>700</v>
      </c>
      <c r="G107" t="s">
        <v>701</v>
      </c>
    </row>
    <row r="108" spans="1:7" x14ac:dyDescent="0.35">
      <c r="A108" t="s">
        <v>702</v>
      </c>
      <c r="B108" t="s">
        <v>703</v>
      </c>
      <c r="C108" t="s">
        <v>704</v>
      </c>
      <c r="D108" t="s">
        <v>705</v>
      </c>
      <c r="E108" t="s">
        <v>706</v>
      </c>
      <c r="F108" t="s">
        <v>707</v>
      </c>
      <c r="G108" t="s">
        <v>708</v>
      </c>
    </row>
    <row r="109" spans="1:7" x14ac:dyDescent="0.35">
      <c r="A109" t="s">
        <v>709</v>
      </c>
      <c r="B109" t="s">
        <v>710</v>
      </c>
      <c r="C109" t="s">
        <v>711</v>
      </c>
      <c r="D109" t="s">
        <v>76</v>
      </c>
      <c r="E109" t="s">
        <v>712</v>
      </c>
      <c r="F109" t="s">
        <v>713</v>
      </c>
      <c r="G109" t="s">
        <v>714</v>
      </c>
    </row>
    <row r="110" spans="1:7" x14ac:dyDescent="0.35">
      <c r="A110" t="s">
        <v>715</v>
      </c>
      <c r="B110" t="s">
        <v>716</v>
      </c>
      <c r="C110" t="s">
        <v>717</v>
      </c>
      <c r="D110" t="s">
        <v>37</v>
      </c>
      <c r="E110" t="s">
        <v>718</v>
      </c>
      <c r="F110" t="s">
        <v>719</v>
      </c>
      <c r="G110" t="s">
        <v>720</v>
      </c>
    </row>
    <row r="111" spans="1:7" x14ac:dyDescent="0.35">
      <c r="A111" t="s">
        <v>721</v>
      </c>
      <c r="B111" t="s">
        <v>722</v>
      </c>
      <c r="C111" t="s">
        <v>723</v>
      </c>
      <c r="D111" t="s">
        <v>474</v>
      </c>
      <c r="E111" t="s">
        <v>724</v>
      </c>
      <c r="F111" t="s">
        <v>725</v>
      </c>
      <c r="G111" t="s">
        <v>726</v>
      </c>
    </row>
    <row r="112" spans="1:7" x14ac:dyDescent="0.35">
      <c r="A112" t="s">
        <v>727</v>
      </c>
      <c r="B112" t="s">
        <v>728</v>
      </c>
      <c r="C112" t="s">
        <v>729</v>
      </c>
      <c r="D112" t="s">
        <v>336</v>
      </c>
      <c r="E112" t="s">
        <v>730</v>
      </c>
      <c r="F112" t="s">
        <v>731</v>
      </c>
      <c r="G112" t="s">
        <v>732</v>
      </c>
    </row>
    <row r="113" spans="1:7" x14ac:dyDescent="0.35">
      <c r="A113" t="s">
        <v>733</v>
      </c>
      <c r="B113" t="s">
        <v>734</v>
      </c>
      <c r="C113" t="s">
        <v>735</v>
      </c>
      <c r="D113" t="s">
        <v>686</v>
      </c>
      <c r="E113" t="s">
        <v>736</v>
      </c>
      <c r="F113" t="s">
        <v>737</v>
      </c>
      <c r="G113" t="s">
        <v>738</v>
      </c>
    </row>
    <row r="114" spans="1:7" x14ac:dyDescent="0.35">
      <c r="A114" t="s">
        <v>739</v>
      </c>
      <c r="B114" t="s">
        <v>740</v>
      </c>
      <c r="C114" t="s">
        <v>741</v>
      </c>
      <c r="D114" t="s">
        <v>257</v>
      </c>
      <c r="E114" t="s">
        <v>742</v>
      </c>
      <c r="F114" t="s">
        <v>743</v>
      </c>
      <c r="G114" t="s">
        <v>744</v>
      </c>
    </row>
    <row r="115" spans="1:7" x14ac:dyDescent="0.35">
      <c r="A115" t="s">
        <v>745</v>
      </c>
      <c r="B115" t="s">
        <v>746</v>
      </c>
      <c r="C115" t="s">
        <v>747</v>
      </c>
      <c r="D115" t="s">
        <v>397</v>
      </c>
      <c r="E115" t="s">
        <v>748</v>
      </c>
      <c r="F115" t="s">
        <v>749</v>
      </c>
      <c r="G115" t="s">
        <v>750</v>
      </c>
    </row>
    <row r="116" spans="1:7" x14ac:dyDescent="0.35">
      <c r="A116" t="s">
        <v>751</v>
      </c>
      <c r="B116" t="s">
        <v>752</v>
      </c>
      <c r="C116" t="s">
        <v>753</v>
      </c>
      <c r="D116" t="s">
        <v>615</v>
      </c>
      <c r="E116" t="s">
        <v>754</v>
      </c>
      <c r="F116" t="s">
        <v>755</v>
      </c>
      <c r="G116" t="s">
        <v>756</v>
      </c>
    </row>
    <row r="117" spans="1:7" x14ac:dyDescent="0.35">
      <c r="A117" t="s">
        <v>757</v>
      </c>
      <c r="B117" t="s">
        <v>758</v>
      </c>
      <c r="C117" t="s">
        <v>759</v>
      </c>
      <c r="D117" t="s">
        <v>760</v>
      </c>
      <c r="E117" t="s">
        <v>761</v>
      </c>
      <c r="F117" t="s">
        <v>762</v>
      </c>
      <c r="G117" t="s">
        <v>763</v>
      </c>
    </row>
    <row r="118" spans="1:7" x14ac:dyDescent="0.35">
      <c r="A118" t="s">
        <v>764</v>
      </c>
      <c r="B118" t="s">
        <v>765</v>
      </c>
      <c r="C118" t="s">
        <v>766</v>
      </c>
      <c r="D118" t="s">
        <v>10</v>
      </c>
      <c r="E118" t="s">
        <v>767</v>
      </c>
      <c r="F118" t="s">
        <v>768</v>
      </c>
      <c r="G118" t="s">
        <v>769</v>
      </c>
    </row>
    <row r="119" spans="1:7" x14ac:dyDescent="0.35">
      <c r="A119" t="s">
        <v>770</v>
      </c>
      <c r="B119" t="s">
        <v>771</v>
      </c>
      <c r="C119" t="s">
        <v>772</v>
      </c>
      <c r="D119" t="s">
        <v>773</v>
      </c>
      <c r="E119" t="s">
        <v>774</v>
      </c>
      <c r="F119" t="s">
        <v>775</v>
      </c>
      <c r="G119" t="s">
        <v>776</v>
      </c>
    </row>
    <row r="120" spans="1:7" x14ac:dyDescent="0.35">
      <c r="A120" t="s">
        <v>777</v>
      </c>
      <c r="B120" t="s">
        <v>778</v>
      </c>
      <c r="C120" t="s">
        <v>779</v>
      </c>
      <c r="D120" t="s">
        <v>780</v>
      </c>
      <c r="E120" t="s">
        <v>781</v>
      </c>
      <c r="F120" t="s">
        <v>782</v>
      </c>
      <c r="G120" t="s">
        <v>783</v>
      </c>
    </row>
    <row r="121" spans="1:7" x14ac:dyDescent="0.35">
      <c r="A121" t="s">
        <v>784</v>
      </c>
      <c r="B121" t="s">
        <v>785</v>
      </c>
      <c r="C121" t="s">
        <v>786</v>
      </c>
      <c r="D121" t="s">
        <v>787</v>
      </c>
      <c r="E121" t="s">
        <v>788</v>
      </c>
      <c r="F121" t="s">
        <v>789</v>
      </c>
      <c r="G121" t="s">
        <v>790</v>
      </c>
    </row>
    <row r="122" spans="1:7" x14ac:dyDescent="0.35">
      <c r="A122" t="s">
        <v>791</v>
      </c>
      <c r="B122" t="s">
        <v>792</v>
      </c>
      <c r="C122" t="s">
        <v>793</v>
      </c>
      <c r="D122" t="s">
        <v>474</v>
      </c>
      <c r="E122" t="s">
        <v>794</v>
      </c>
      <c r="F122" t="s">
        <v>795</v>
      </c>
      <c r="G122" t="s">
        <v>796</v>
      </c>
    </row>
    <row r="123" spans="1:7" x14ac:dyDescent="0.35">
      <c r="A123" t="s">
        <v>797</v>
      </c>
      <c r="B123" t="s">
        <v>798</v>
      </c>
      <c r="C123" t="s">
        <v>799</v>
      </c>
      <c r="D123" t="s">
        <v>686</v>
      </c>
      <c r="E123" t="s">
        <v>800</v>
      </c>
      <c r="F123" t="s">
        <v>801</v>
      </c>
      <c r="G123" t="s">
        <v>802</v>
      </c>
    </row>
    <row r="124" spans="1:7" x14ac:dyDescent="0.35">
      <c r="A124" t="s">
        <v>803</v>
      </c>
      <c r="B124" t="s">
        <v>804</v>
      </c>
      <c r="C124" t="s">
        <v>805</v>
      </c>
      <c r="D124" t="s">
        <v>322</v>
      </c>
      <c r="E124" t="s">
        <v>806</v>
      </c>
      <c r="F124" t="s">
        <v>807</v>
      </c>
      <c r="G124" t="s">
        <v>808</v>
      </c>
    </row>
    <row r="125" spans="1:7" x14ac:dyDescent="0.35">
      <c r="A125" t="s">
        <v>809</v>
      </c>
      <c r="B125" t="s">
        <v>810</v>
      </c>
      <c r="C125" t="s">
        <v>811</v>
      </c>
      <c r="D125" t="s">
        <v>812</v>
      </c>
      <c r="E125" t="s">
        <v>813</v>
      </c>
      <c r="F125" t="s">
        <v>814</v>
      </c>
      <c r="G125" t="s">
        <v>815</v>
      </c>
    </row>
    <row r="126" spans="1:7" x14ac:dyDescent="0.35">
      <c r="A126" t="s">
        <v>816</v>
      </c>
      <c r="B126" t="s">
        <v>817</v>
      </c>
      <c r="C126" t="s">
        <v>818</v>
      </c>
      <c r="D126" t="s">
        <v>819</v>
      </c>
      <c r="E126" t="s">
        <v>820</v>
      </c>
      <c r="F126" t="s">
        <v>821</v>
      </c>
      <c r="G126" t="s">
        <v>822</v>
      </c>
    </row>
    <row r="127" spans="1:7" x14ac:dyDescent="0.35">
      <c r="A127" t="s">
        <v>823</v>
      </c>
      <c r="B127" t="s">
        <v>824</v>
      </c>
      <c r="C127" t="s">
        <v>825</v>
      </c>
      <c r="D127" t="s">
        <v>760</v>
      </c>
      <c r="E127" t="s">
        <v>826</v>
      </c>
      <c r="F127" t="s">
        <v>827</v>
      </c>
      <c r="G127" t="s">
        <v>828</v>
      </c>
    </row>
    <row r="128" spans="1:7" x14ac:dyDescent="0.35">
      <c r="A128" t="s">
        <v>829</v>
      </c>
      <c r="B128" t="s">
        <v>830</v>
      </c>
      <c r="C128" t="s">
        <v>831</v>
      </c>
      <c r="D128" t="s">
        <v>832</v>
      </c>
      <c r="E128" t="s">
        <v>833</v>
      </c>
      <c r="F128" t="s">
        <v>834</v>
      </c>
      <c r="G128" t="s">
        <v>835</v>
      </c>
    </row>
    <row r="129" spans="1:7" x14ac:dyDescent="0.35">
      <c r="A129" t="s">
        <v>836</v>
      </c>
      <c r="B129" t="s">
        <v>837</v>
      </c>
      <c r="C129" t="s">
        <v>838</v>
      </c>
      <c r="D129" t="s">
        <v>839</v>
      </c>
      <c r="E129" t="s">
        <v>840</v>
      </c>
      <c r="F129" t="s">
        <v>841</v>
      </c>
      <c r="G129" t="s">
        <v>842</v>
      </c>
    </row>
    <row r="130" spans="1:7" x14ac:dyDescent="0.35">
      <c r="A130" t="s">
        <v>843</v>
      </c>
      <c r="B130" t="s">
        <v>844</v>
      </c>
      <c r="C130" t="s">
        <v>845</v>
      </c>
      <c r="D130" t="s">
        <v>846</v>
      </c>
      <c r="E130" t="s">
        <v>847</v>
      </c>
      <c r="F130" t="s">
        <v>848</v>
      </c>
      <c r="G130" t="s">
        <v>849</v>
      </c>
    </row>
    <row r="131" spans="1:7" x14ac:dyDescent="0.35">
      <c r="A131" t="s">
        <v>850</v>
      </c>
      <c r="B131" t="s">
        <v>851</v>
      </c>
      <c r="C131" t="s">
        <v>852</v>
      </c>
      <c r="D131" t="s">
        <v>43</v>
      </c>
      <c r="E131" t="s">
        <v>853</v>
      </c>
      <c r="F131" t="s">
        <v>854</v>
      </c>
      <c r="G131" t="s">
        <v>855</v>
      </c>
    </row>
    <row r="132" spans="1:7" x14ac:dyDescent="0.35">
      <c r="A132" t="s">
        <v>856</v>
      </c>
      <c r="B132" t="s">
        <v>857</v>
      </c>
      <c r="C132" t="s">
        <v>858</v>
      </c>
      <c r="D132" t="s">
        <v>839</v>
      </c>
      <c r="E132" t="s">
        <v>859</v>
      </c>
      <c r="F132" t="s">
        <v>860</v>
      </c>
      <c r="G132" t="s">
        <v>861</v>
      </c>
    </row>
    <row r="133" spans="1:7" x14ac:dyDescent="0.35">
      <c r="A133" t="s">
        <v>862</v>
      </c>
      <c r="B133" t="s">
        <v>863</v>
      </c>
      <c r="C133" t="s">
        <v>864</v>
      </c>
      <c r="D133" t="s">
        <v>561</v>
      </c>
      <c r="E133" t="s">
        <v>865</v>
      </c>
      <c r="F133" t="s">
        <v>866</v>
      </c>
      <c r="G133" t="s">
        <v>867</v>
      </c>
    </row>
    <row r="134" spans="1:7" x14ac:dyDescent="0.35">
      <c r="A134" t="s">
        <v>868</v>
      </c>
      <c r="B134" t="s">
        <v>869</v>
      </c>
      <c r="C134" t="s">
        <v>870</v>
      </c>
      <c r="D134" t="s">
        <v>561</v>
      </c>
      <c r="E134" t="s">
        <v>871</v>
      </c>
      <c r="F134" t="s">
        <v>872</v>
      </c>
      <c r="G134" t="s">
        <v>873</v>
      </c>
    </row>
    <row r="135" spans="1:7" x14ac:dyDescent="0.35">
      <c r="A135" t="s">
        <v>874</v>
      </c>
      <c r="B135" t="s">
        <v>875</v>
      </c>
      <c r="C135" t="s">
        <v>876</v>
      </c>
      <c r="D135" t="s">
        <v>136</v>
      </c>
      <c r="E135" t="s">
        <v>877</v>
      </c>
      <c r="F135" t="s">
        <v>878</v>
      </c>
      <c r="G135" t="s">
        <v>879</v>
      </c>
    </row>
    <row r="136" spans="1:7" x14ac:dyDescent="0.35">
      <c r="A136" t="s">
        <v>880</v>
      </c>
      <c r="B136" t="s">
        <v>880</v>
      </c>
      <c r="C136" t="s">
        <v>881</v>
      </c>
      <c r="D136" t="s">
        <v>882</v>
      </c>
      <c r="E136" t="s">
        <v>883</v>
      </c>
      <c r="F136" t="s">
        <v>884</v>
      </c>
      <c r="G136" t="s">
        <v>885</v>
      </c>
    </row>
    <row r="137" spans="1:7" x14ac:dyDescent="0.35">
      <c r="A137" t="s">
        <v>886</v>
      </c>
      <c r="B137" t="s">
        <v>887</v>
      </c>
      <c r="C137" t="s">
        <v>888</v>
      </c>
      <c r="D137" t="s">
        <v>24</v>
      </c>
      <c r="E137" t="s">
        <v>889</v>
      </c>
      <c r="F137" t="s">
        <v>890</v>
      </c>
      <c r="G137" t="s">
        <v>891</v>
      </c>
    </row>
    <row r="138" spans="1:7" x14ac:dyDescent="0.35">
      <c r="A138" t="s">
        <v>892</v>
      </c>
      <c r="B138" t="s">
        <v>893</v>
      </c>
      <c r="C138" t="s">
        <v>894</v>
      </c>
      <c r="D138" t="s">
        <v>895</v>
      </c>
      <c r="E138" t="s">
        <v>896</v>
      </c>
      <c r="F138" t="s">
        <v>897</v>
      </c>
      <c r="G138" t="s">
        <v>898</v>
      </c>
    </row>
    <row r="139" spans="1:7" x14ac:dyDescent="0.35">
      <c r="A139" t="s">
        <v>899</v>
      </c>
      <c r="B139" t="s">
        <v>900</v>
      </c>
      <c r="C139" t="s">
        <v>901</v>
      </c>
      <c r="D139" t="s">
        <v>615</v>
      </c>
      <c r="E139" t="s">
        <v>902</v>
      </c>
      <c r="F139" t="s">
        <v>903</v>
      </c>
      <c r="G139" t="s">
        <v>904</v>
      </c>
    </row>
    <row r="140" spans="1:7" x14ac:dyDescent="0.35">
      <c r="A140" t="s">
        <v>905</v>
      </c>
      <c r="B140" t="s">
        <v>906</v>
      </c>
      <c r="C140" t="s">
        <v>907</v>
      </c>
      <c r="D140" t="s">
        <v>257</v>
      </c>
      <c r="E140" t="s">
        <v>908</v>
      </c>
      <c r="F140" t="s">
        <v>909</v>
      </c>
      <c r="G140" t="s">
        <v>910</v>
      </c>
    </row>
    <row r="141" spans="1:7" x14ac:dyDescent="0.35">
      <c r="A141" t="s">
        <v>911</v>
      </c>
      <c r="B141" t="s">
        <v>911</v>
      </c>
      <c r="C141" t="s">
        <v>912</v>
      </c>
      <c r="D141" t="s">
        <v>49</v>
      </c>
      <c r="E141" t="s">
        <v>913</v>
      </c>
      <c r="F141" t="s">
        <v>914</v>
      </c>
      <c r="G141" t="s">
        <v>915</v>
      </c>
    </row>
    <row r="142" spans="1:7" x14ac:dyDescent="0.35">
      <c r="A142" t="s">
        <v>916</v>
      </c>
      <c r="B142" t="s">
        <v>917</v>
      </c>
      <c r="C142" t="s">
        <v>918</v>
      </c>
      <c r="D142" t="s">
        <v>257</v>
      </c>
      <c r="E142" t="s">
        <v>919</v>
      </c>
      <c r="F142" t="s">
        <v>920</v>
      </c>
      <c r="G142" t="s">
        <v>921</v>
      </c>
    </row>
    <row r="143" spans="1:7" x14ac:dyDescent="0.35">
      <c r="A143" t="s">
        <v>922</v>
      </c>
      <c r="B143" t="s">
        <v>923</v>
      </c>
      <c r="C143" t="s">
        <v>924</v>
      </c>
      <c r="D143" t="s">
        <v>925</v>
      </c>
      <c r="E143" t="s">
        <v>926</v>
      </c>
      <c r="F143" t="s">
        <v>927</v>
      </c>
      <c r="G143" t="s">
        <v>928</v>
      </c>
    </row>
    <row r="144" spans="1:7" x14ac:dyDescent="0.35">
      <c r="A144" t="s">
        <v>929</v>
      </c>
      <c r="B144" t="s">
        <v>930</v>
      </c>
      <c r="C144" t="s">
        <v>931</v>
      </c>
      <c r="D144" t="s">
        <v>932</v>
      </c>
      <c r="E144" t="s">
        <v>933</v>
      </c>
      <c r="F144" t="s">
        <v>934</v>
      </c>
      <c r="G144" t="s">
        <v>935</v>
      </c>
    </row>
    <row r="145" spans="1:7" x14ac:dyDescent="0.35">
      <c r="A145" t="s">
        <v>936</v>
      </c>
      <c r="B145" t="s">
        <v>936</v>
      </c>
      <c r="C145" t="s">
        <v>937</v>
      </c>
      <c r="D145" t="s">
        <v>672</v>
      </c>
      <c r="E145" t="s">
        <v>938</v>
      </c>
      <c r="F145" t="s">
        <v>939</v>
      </c>
      <c r="G145" t="s">
        <v>940</v>
      </c>
    </row>
    <row r="146" spans="1:7" x14ac:dyDescent="0.35">
      <c r="A146" t="s">
        <v>941</v>
      </c>
      <c r="B146" t="s">
        <v>942</v>
      </c>
      <c r="C146" t="s">
        <v>943</v>
      </c>
      <c r="D146" t="s">
        <v>443</v>
      </c>
      <c r="E146" t="s">
        <v>944</v>
      </c>
      <c r="F146" t="s">
        <v>945</v>
      </c>
      <c r="G146" t="s">
        <v>946</v>
      </c>
    </row>
    <row r="147" spans="1:7" x14ac:dyDescent="0.35">
      <c r="A147" t="s">
        <v>947</v>
      </c>
      <c r="B147" t="s">
        <v>948</v>
      </c>
      <c r="C147" t="s">
        <v>949</v>
      </c>
      <c r="D147" t="s">
        <v>397</v>
      </c>
      <c r="E147" t="s">
        <v>950</v>
      </c>
      <c r="F147" t="s">
        <v>951</v>
      </c>
      <c r="G147" t="s">
        <v>952</v>
      </c>
    </row>
    <row r="148" spans="1:7" x14ac:dyDescent="0.35">
      <c r="A148" t="s">
        <v>953</v>
      </c>
      <c r="B148" t="s">
        <v>954</v>
      </c>
      <c r="C148" t="s">
        <v>955</v>
      </c>
      <c r="D148" t="s">
        <v>956</v>
      </c>
      <c r="E148" t="s">
        <v>957</v>
      </c>
      <c r="F148" t="s">
        <v>958</v>
      </c>
      <c r="G148" t="s">
        <v>959</v>
      </c>
    </row>
    <row r="149" spans="1:7" x14ac:dyDescent="0.35">
      <c r="A149" t="s">
        <v>960</v>
      </c>
      <c r="B149" t="s">
        <v>961</v>
      </c>
      <c r="C149" t="s">
        <v>962</v>
      </c>
      <c r="D149" t="s">
        <v>31</v>
      </c>
      <c r="E149" t="s">
        <v>963</v>
      </c>
      <c r="F149" t="s">
        <v>637</v>
      </c>
      <c r="G149" t="s">
        <v>964</v>
      </c>
    </row>
    <row r="150" spans="1:7" x14ac:dyDescent="0.35">
      <c r="A150" t="s">
        <v>965</v>
      </c>
      <c r="B150" t="s">
        <v>966</v>
      </c>
      <c r="C150" t="s">
        <v>967</v>
      </c>
      <c r="D150" t="s">
        <v>31</v>
      </c>
      <c r="E150" t="s">
        <v>968</v>
      </c>
      <c r="F150" t="s">
        <v>637</v>
      </c>
      <c r="G150" t="s">
        <v>969</v>
      </c>
    </row>
    <row r="151" spans="1:7" x14ac:dyDescent="0.35">
      <c r="A151" t="s">
        <v>970</v>
      </c>
      <c r="B151" t="s">
        <v>971</v>
      </c>
      <c r="C151" t="s">
        <v>972</v>
      </c>
      <c r="D151" t="s">
        <v>615</v>
      </c>
      <c r="E151" t="s">
        <v>973</v>
      </c>
      <c r="F151" t="s">
        <v>974</v>
      </c>
      <c r="G151" t="s">
        <v>975</v>
      </c>
    </row>
    <row r="152" spans="1:7" x14ac:dyDescent="0.35">
      <c r="A152" t="s">
        <v>976</v>
      </c>
      <c r="B152" t="s">
        <v>977</v>
      </c>
      <c r="C152" t="s">
        <v>978</v>
      </c>
      <c r="D152" t="s">
        <v>979</v>
      </c>
      <c r="E152" t="s">
        <v>980</v>
      </c>
      <c r="F152" t="s">
        <v>981</v>
      </c>
      <c r="G152" t="s">
        <v>982</v>
      </c>
    </row>
    <row r="153" spans="1:7" x14ac:dyDescent="0.35">
      <c r="A153" t="s">
        <v>983</v>
      </c>
      <c r="B153" t="s">
        <v>984</v>
      </c>
      <c r="C153" t="s">
        <v>985</v>
      </c>
      <c r="D153" t="s">
        <v>329</v>
      </c>
      <c r="E153" t="s">
        <v>986</v>
      </c>
      <c r="F153" t="s">
        <v>987</v>
      </c>
      <c r="G153" t="s">
        <v>988</v>
      </c>
    </row>
    <row r="154" spans="1:7" x14ac:dyDescent="0.35">
      <c r="A154" t="s">
        <v>989</v>
      </c>
      <c r="B154" t="s">
        <v>990</v>
      </c>
      <c r="C154" t="s">
        <v>991</v>
      </c>
      <c r="D154" t="s">
        <v>992</v>
      </c>
      <c r="E154" t="s">
        <v>993</v>
      </c>
      <c r="F154" t="s">
        <v>994</v>
      </c>
      <c r="G154" t="s">
        <v>995</v>
      </c>
    </row>
    <row r="155" spans="1:7" x14ac:dyDescent="0.35">
      <c r="A155" t="s">
        <v>996</v>
      </c>
      <c r="B155" t="s">
        <v>997</v>
      </c>
      <c r="C155" t="s">
        <v>998</v>
      </c>
      <c r="D155" t="s">
        <v>932</v>
      </c>
      <c r="E155" t="s">
        <v>999</v>
      </c>
      <c r="F155" t="s">
        <v>1000</v>
      </c>
      <c r="G155" t="s">
        <v>1001</v>
      </c>
    </row>
    <row r="156" spans="1:7" x14ac:dyDescent="0.35">
      <c r="A156" t="s">
        <v>1002</v>
      </c>
      <c r="B156" t="s">
        <v>1003</v>
      </c>
      <c r="C156" t="s">
        <v>1004</v>
      </c>
      <c r="D156" t="s">
        <v>629</v>
      </c>
      <c r="E156" t="s">
        <v>1005</v>
      </c>
      <c r="F156" t="s">
        <v>1006</v>
      </c>
      <c r="G156" t="s">
        <v>1007</v>
      </c>
    </row>
    <row r="157" spans="1:7" x14ac:dyDescent="0.35">
      <c r="A157" t="s">
        <v>1008</v>
      </c>
      <c r="B157" t="s">
        <v>1009</v>
      </c>
      <c r="C157" t="s">
        <v>1010</v>
      </c>
      <c r="D157" t="s">
        <v>474</v>
      </c>
      <c r="E157" t="s">
        <v>1011</v>
      </c>
      <c r="F157" t="s">
        <v>1012</v>
      </c>
      <c r="G157" t="s">
        <v>1013</v>
      </c>
    </row>
    <row r="158" spans="1:7" x14ac:dyDescent="0.35">
      <c r="A158" t="s">
        <v>1014</v>
      </c>
      <c r="B158" t="s">
        <v>1014</v>
      </c>
      <c r="C158" t="s">
        <v>805</v>
      </c>
      <c r="D158" t="s">
        <v>37</v>
      </c>
      <c r="E158" t="s">
        <v>1015</v>
      </c>
      <c r="F158" t="s">
        <v>1016</v>
      </c>
      <c r="G158" t="s">
        <v>1017</v>
      </c>
    </row>
    <row r="159" spans="1:7" x14ac:dyDescent="0.35">
      <c r="A159" t="s">
        <v>1018</v>
      </c>
      <c r="B159" t="s">
        <v>1019</v>
      </c>
      <c r="C159" t="s">
        <v>1020</v>
      </c>
      <c r="D159" t="s">
        <v>390</v>
      </c>
      <c r="E159" t="s">
        <v>1021</v>
      </c>
      <c r="F159" t="s">
        <v>1022</v>
      </c>
      <c r="G159" t="s">
        <v>1023</v>
      </c>
    </row>
    <row r="160" spans="1:7" x14ac:dyDescent="0.35">
      <c r="A160" t="s">
        <v>1024</v>
      </c>
      <c r="B160" t="s">
        <v>1024</v>
      </c>
      <c r="C160" t="s">
        <v>1025</v>
      </c>
      <c r="D160" t="s">
        <v>1026</v>
      </c>
      <c r="E160" t="s">
        <v>1027</v>
      </c>
      <c r="F160" t="s">
        <v>1028</v>
      </c>
      <c r="G160" t="s">
        <v>1029</v>
      </c>
    </row>
    <row r="161" spans="1:7" x14ac:dyDescent="0.35">
      <c r="A161" t="s">
        <v>1030</v>
      </c>
      <c r="B161" t="s">
        <v>1031</v>
      </c>
      <c r="C161" t="s">
        <v>1032</v>
      </c>
      <c r="D161" t="s">
        <v>116</v>
      </c>
      <c r="E161" t="s">
        <v>1033</v>
      </c>
      <c r="F161" t="s">
        <v>1034</v>
      </c>
      <c r="G161" t="s">
        <v>1035</v>
      </c>
    </row>
    <row r="162" spans="1:7" x14ac:dyDescent="0.35">
      <c r="A162" t="s">
        <v>1036</v>
      </c>
      <c r="B162" t="s">
        <v>1037</v>
      </c>
      <c r="C162" t="s">
        <v>1038</v>
      </c>
      <c r="D162" t="s">
        <v>1039</v>
      </c>
      <c r="E162" t="s">
        <v>1040</v>
      </c>
      <c r="F162" t="s">
        <v>1041</v>
      </c>
      <c r="G162" t="s">
        <v>1042</v>
      </c>
    </row>
    <row r="163" spans="1:7" x14ac:dyDescent="0.35">
      <c r="A163" t="s">
        <v>1043</v>
      </c>
      <c r="B163" t="s">
        <v>1044</v>
      </c>
      <c r="C163" t="s">
        <v>1045</v>
      </c>
      <c r="D163" t="s">
        <v>932</v>
      </c>
      <c r="E163" t="s">
        <v>1046</v>
      </c>
      <c r="F163" t="s">
        <v>1047</v>
      </c>
      <c r="G163" t="s">
        <v>1048</v>
      </c>
    </row>
    <row r="164" spans="1:7" x14ac:dyDescent="0.35">
      <c r="A164" t="s">
        <v>1049</v>
      </c>
      <c r="B164" t="s">
        <v>1050</v>
      </c>
      <c r="C164" t="s">
        <v>1051</v>
      </c>
      <c r="D164" t="s">
        <v>31</v>
      </c>
      <c r="E164" t="s">
        <v>1052</v>
      </c>
      <c r="F164" t="s">
        <v>637</v>
      </c>
      <c r="G164" t="s">
        <v>1053</v>
      </c>
    </row>
    <row r="165" spans="1:7" x14ac:dyDescent="0.35">
      <c r="A165" t="s">
        <v>1054</v>
      </c>
      <c r="B165" t="s">
        <v>1055</v>
      </c>
      <c r="C165" t="s">
        <v>1056</v>
      </c>
      <c r="D165" t="s">
        <v>534</v>
      </c>
      <c r="E165" t="s">
        <v>1057</v>
      </c>
      <c r="F165" t="s">
        <v>1058</v>
      </c>
      <c r="G165" t="s">
        <v>1059</v>
      </c>
    </row>
    <row r="166" spans="1:7" x14ac:dyDescent="0.35">
      <c r="A166" t="s">
        <v>1060</v>
      </c>
      <c r="B166" t="s">
        <v>1061</v>
      </c>
      <c r="C166" t="s">
        <v>1062</v>
      </c>
      <c r="D166" t="s">
        <v>123</v>
      </c>
      <c r="E166" t="s">
        <v>1063</v>
      </c>
      <c r="F166" t="s">
        <v>1064</v>
      </c>
      <c r="G166" t="s">
        <v>1065</v>
      </c>
    </row>
    <row r="167" spans="1:7" x14ac:dyDescent="0.35">
      <c r="A167" t="s">
        <v>1066</v>
      </c>
      <c r="B167" t="s">
        <v>1067</v>
      </c>
      <c r="C167" t="s">
        <v>1068</v>
      </c>
      <c r="D167" t="s">
        <v>24</v>
      </c>
      <c r="E167" t="s">
        <v>1069</v>
      </c>
      <c r="F167" t="s">
        <v>1070</v>
      </c>
      <c r="G167" t="s">
        <v>1071</v>
      </c>
    </row>
    <row r="168" spans="1:7" x14ac:dyDescent="0.35">
      <c r="A168" t="s">
        <v>1072</v>
      </c>
      <c r="B168" t="s">
        <v>1073</v>
      </c>
      <c r="C168" t="s">
        <v>1074</v>
      </c>
      <c r="D168" t="s">
        <v>686</v>
      </c>
      <c r="E168" t="s">
        <v>1075</v>
      </c>
      <c r="F168" t="s">
        <v>1076</v>
      </c>
      <c r="G168" t="s">
        <v>1077</v>
      </c>
    </row>
    <row r="169" spans="1:7" x14ac:dyDescent="0.35">
      <c r="A169" t="s">
        <v>1078</v>
      </c>
      <c r="B169" t="s">
        <v>1079</v>
      </c>
      <c r="C169" t="s">
        <v>1080</v>
      </c>
      <c r="D169" t="s">
        <v>31</v>
      </c>
      <c r="E169" t="s">
        <v>1081</v>
      </c>
      <c r="F169" t="s">
        <v>1082</v>
      </c>
      <c r="G169" t="s">
        <v>1083</v>
      </c>
    </row>
    <row r="170" spans="1:7" x14ac:dyDescent="0.35">
      <c r="A170" t="s">
        <v>1084</v>
      </c>
      <c r="B170" t="s">
        <v>1085</v>
      </c>
      <c r="C170" t="s">
        <v>1086</v>
      </c>
      <c r="D170" t="s">
        <v>49</v>
      </c>
      <c r="E170" t="s">
        <v>1087</v>
      </c>
      <c r="F170" t="s">
        <v>1088</v>
      </c>
      <c r="G170" t="s">
        <v>1089</v>
      </c>
    </row>
    <row r="171" spans="1:7" x14ac:dyDescent="0.35">
      <c r="A171" t="s">
        <v>1090</v>
      </c>
      <c r="B171" t="s">
        <v>1091</v>
      </c>
      <c r="C171" t="s">
        <v>1092</v>
      </c>
      <c r="D171" t="s">
        <v>1093</v>
      </c>
      <c r="E171" t="s">
        <v>1094</v>
      </c>
      <c r="F171" t="s">
        <v>1095</v>
      </c>
      <c r="G171" t="s">
        <v>1096</v>
      </c>
    </row>
    <row r="172" spans="1:7" x14ac:dyDescent="0.35">
      <c r="A172" t="s">
        <v>1097</v>
      </c>
      <c r="B172" t="s">
        <v>1098</v>
      </c>
      <c r="C172" t="s">
        <v>1099</v>
      </c>
      <c r="D172" t="s">
        <v>329</v>
      </c>
      <c r="E172" t="s">
        <v>1100</v>
      </c>
      <c r="F172" t="s">
        <v>1101</v>
      </c>
      <c r="G172" t="s">
        <v>1102</v>
      </c>
    </row>
    <row r="173" spans="1:7" x14ac:dyDescent="0.35">
      <c r="A173" t="s">
        <v>1103</v>
      </c>
      <c r="B173" t="s">
        <v>1104</v>
      </c>
      <c r="C173" t="s">
        <v>1105</v>
      </c>
      <c r="D173" t="s">
        <v>1106</v>
      </c>
      <c r="E173" t="s">
        <v>1107</v>
      </c>
      <c r="F173" t="s">
        <v>1108</v>
      </c>
      <c r="G173" t="s">
        <v>1109</v>
      </c>
    </row>
    <row r="174" spans="1:7" x14ac:dyDescent="0.35">
      <c r="A174" t="s">
        <v>1110</v>
      </c>
      <c r="B174" t="s">
        <v>1111</v>
      </c>
      <c r="C174" t="s">
        <v>1112</v>
      </c>
      <c r="D174" t="s">
        <v>615</v>
      </c>
      <c r="E174" t="s">
        <v>1113</v>
      </c>
      <c r="F174" t="s">
        <v>1114</v>
      </c>
      <c r="G174" t="s">
        <v>1115</v>
      </c>
    </row>
    <row r="175" spans="1:7" x14ac:dyDescent="0.35">
      <c r="A175" t="s">
        <v>1116</v>
      </c>
      <c r="B175" t="s">
        <v>1117</v>
      </c>
      <c r="C175" t="s">
        <v>1118</v>
      </c>
      <c r="D175" t="s">
        <v>257</v>
      </c>
      <c r="E175" t="s">
        <v>1119</v>
      </c>
      <c r="F175" t="s">
        <v>1120</v>
      </c>
      <c r="G175" t="s">
        <v>1121</v>
      </c>
    </row>
    <row r="176" spans="1:7" x14ac:dyDescent="0.35">
      <c r="A176" t="s">
        <v>1122</v>
      </c>
      <c r="B176" t="s">
        <v>1123</v>
      </c>
      <c r="C176" t="s">
        <v>1124</v>
      </c>
      <c r="D176" t="s">
        <v>1125</v>
      </c>
      <c r="E176" t="s">
        <v>1126</v>
      </c>
      <c r="F176" t="s">
        <v>1127</v>
      </c>
      <c r="G176" t="s">
        <v>1128</v>
      </c>
    </row>
    <row r="177" spans="1:7" x14ac:dyDescent="0.35">
      <c r="A177" t="s">
        <v>1129</v>
      </c>
      <c r="B177" t="s">
        <v>1130</v>
      </c>
      <c r="C177" t="s">
        <v>1131</v>
      </c>
      <c r="D177" t="s">
        <v>474</v>
      </c>
      <c r="E177" t="s">
        <v>1132</v>
      </c>
      <c r="F177" t="s">
        <v>1133</v>
      </c>
      <c r="G177" t="s">
        <v>1134</v>
      </c>
    </row>
    <row r="178" spans="1:7" x14ac:dyDescent="0.35">
      <c r="A178" t="s">
        <v>1135</v>
      </c>
      <c r="B178" t="s">
        <v>1136</v>
      </c>
      <c r="C178" t="s">
        <v>1137</v>
      </c>
      <c r="D178" t="s">
        <v>932</v>
      </c>
      <c r="E178" t="s">
        <v>1138</v>
      </c>
      <c r="F178" t="s">
        <v>1139</v>
      </c>
      <c r="G178" t="s">
        <v>1140</v>
      </c>
    </row>
    <row r="179" spans="1:7" x14ac:dyDescent="0.35">
      <c r="A179" t="s">
        <v>1141</v>
      </c>
      <c r="B179" t="s">
        <v>1142</v>
      </c>
      <c r="C179" t="s">
        <v>1143</v>
      </c>
      <c r="D179" t="s">
        <v>1144</v>
      </c>
      <c r="E179" t="s">
        <v>1145</v>
      </c>
      <c r="F179" t="s">
        <v>1146</v>
      </c>
      <c r="G179" t="s">
        <v>1147</v>
      </c>
    </row>
    <row r="180" spans="1:7" x14ac:dyDescent="0.35">
      <c r="A180" t="s">
        <v>1148</v>
      </c>
      <c r="B180" t="s">
        <v>1149</v>
      </c>
      <c r="C180" t="s">
        <v>1150</v>
      </c>
      <c r="D180" t="s">
        <v>343</v>
      </c>
      <c r="E180" t="s">
        <v>1151</v>
      </c>
      <c r="F180" t="s">
        <v>637</v>
      </c>
      <c r="G180" t="s">
        <v>1152</v>
      </c>
    </row>
    <row r="181" spans="1:7" x14ac:dyDescent="0.35">
      <c r="A181" t="s">
        <v>1153</v>
      </c>
      <c r="B181" t="s">
        <v>1154</v>
      </c>
      <c r="C181" t="s">
        <v>1155</v>
      </c>
      <c r="D181" t="s">
        <v>322</v>
      </c>
      <c r="E181" t="s">
        <v>1156</v>
      </c>
      <c r="F181" t="s">
        <v>1157</v>
      </c>
      <c r="G181" t="s">
        <v>1158</v>
      </c>
    </row>
    <row r="182" spans="1:7" x14ac:dyDescent="0.35">
      <c r="A182" t="s">
        <v>1159</v>
      </c>
      <c r="B182" t="s">
        <v>1160</v>
      </c>
      <c r="C182" t="s">
        <v>1161</v>
      </c>
      <c r="D182" t="s">
        <v>169</v>
      </c>
      <c r="E182" t="s">
        <v>1162</v>
      </c>
      <c r="F182" t="s">
        <v>1163</v>
      </c>
      <c r="G182" t="s">
        <v>1164</v>
      </c>
    </row>
    <row r="183" spans="1:7" x14ac:dyDescent="0.35">
      <c r="A183" t="s">
        <v>1165</v>
      </c>
      <c r="B183" t="s">
        <v>1165</v>
      </c>
      <c r="C183" t="s">
        <v>1166</v>
      </c>
      <c r="D183" t="s">
        <v>686</v>
      </c>
      <c r="E183" t="s">
        <v>1167</v>
      </c>
      <c r="F183" t="s">
        <v>1168</v>
      </c>
      <c r="G183" t="s">
        <v>1169</v>
      </c>
    </row>
    <row r="184" spans="1:7" x14ac:dyDescent="0.35">
      <c r="A184" t="s">
        <v>1170</v>
      </c>
      <c r="B184" t="s">
        <v>1170</v>
      </c>
      <c r="C184" t="s">
        <v>1171</v>
      </c>
      <c r="D184" t="s">
        <v>404</v>
      </c>
      <c r="E184" t="s">
        <v>1172</v>
      </c>
      <c r="F184" t="s">
        <v>1173</v>
      </c>
      <c r="G184" t="s">
        <v>1174</v>
      </c>
    </row>
    <row r="185" spans="1:7" x14ac:dyDescent="0.35">
      <c r="A185" t="s">
        <v>1175</v>
      </c>
      <c r="B185" t="s">
        <v>1176</v>
      </c>
      <c r="C185" t="s">
        <v>1177</v>
      </c>
      <c r="D185" t="s">
        <v>411</v>
      </c>
      <c r="E185" t="s">
        <v>1178</v>
      </c>
      <c r="F185" t="s">
        <v>1179</v>
      </c>
      <c r="G185" t="s">
        <v>1180</v>
      </c>
    </row>
    <row r="186" spans="1:7" x14ac:dyDescent="0.35">
      <c r="A186" t="s">
        <v>1181</v>
      </c>
      <c r="B186" t="s">
        <v>1182</v>
      </c>
      <c r="C186" t="s">
        <v>1183</v>
      </c>
      <c r="D186" t="s">
        <v>37</v>
      </c>
      <c r="E186" t="s">
        <v>1184</v>
      </c>
      <c r="F186" t="s">
        <v>1185</v>
      </c>
      <c r="G186" t="s">
        <v>1186</v>
      </c>
    </row>
    <row r="187" spans="1:7" x14ac:dyDescent="0.35">
      <c r="A187" t="s">
        <v>1187</v>
      </c>
      <c r="B187" t="s">
        <v>1188</v>
      </c>
      <c r="C187" t="s">
        <v>1189</v>
      </c>
      <c r="D187" t="s">
        <v>17</v>
      </c>
      <c r="E187" t="s">
        <v>1190</v>
      </c>
      <c r="F187" t="s">
        <v>1191</v>
      </c>
      <c r="G187" t="s">
        <v>1192</v>
      </c>
    </row>
    <row r="188" spans="1:7" x14ac:dyDescent="0.35">
      <c r="A188" t="s">
        <v>1193</v>
      </c>
      <c r="B188" t="s">
        <v>1193</v>
      </c>
      <c r="C188" t="s">
        <v>1194</v>
      </c>
      <c r="D188" t="s">
        <v>49</v>
      </c>
      <c r="E188" t="s">
        <v>1195</v>
      </c>
      <c r="F188" t="s">
        <v>1196</v>
      </c>
      <c r="G188" t="s">
        <v>1197</v>
      </c>
    </row>
    <row r="189" spans="1:7" x14ac:dyDescent="0.35">
      <c r="A189" t="s">
        <v>1198</v>
      </c>
      <c r="B189" t="s">
        <v>1199</v>
      </c>
      <c r="C189" t="s">
        <v>1200</v>
      </c>
      <c r="D189" t="s">
        <v>787</v>
      </c>
      <c r="E189" t="s">
        <v>1201</v>
      </c>
      <c r="F189" t="s">
        <v>1202</v>
      </c>
      <c r="G189" t="s">
        <v>1203</v>
      </c>
    </row>
    <row r="190" spans="1:7" x14ac:dyDescent="0.35">
      <c r="A190" t="s">
        <v>1204</v>
      </c>
      <c r="B190" t="s">
        <v>1205</v>
      </c>
      <c r="C190" t="s">
        <v>1206</v>
      </c>
      <c r="D190" t="s">
        <v>181</v>
      </c>
      <c r="E190" t="s">
        <v>1207</v>
      </c>
      <c r="F190" t="s">
        <v>1208</v>
      </c>
      <c r="G190" t="s">
        <v>1209</v>
      </c>
    </row>
    <row r="191" spans="1:7" x14ac:dyDescent="0.35">
      <c r="A191" t="s">
        <v>1210</v>
      </c>
      <c r="B191" t="s">
        <v>1211</v>
      </c>
      <c r="C191" t="s">
        <v>423</v>
      </c>
      <c r="D191" t="s">
        <v>31</v>
      </c>
      <c r="E191" t="s">
        <v>1212</v>
      </c>
      <c r="F191" t="s">
        <v>637</v>
      </c>
      <c r="G191" t="s">
        <v>1213</v>
      </c>
    </row>
    <row r="192" spans="1:7" x14ac:dyDescent="0.35">
      <c r="A192" t="s">
        <v>1214</v>
      </c>
      <c r="B192" t="s">
        <v>1215</v>
      </c>
      <c r="C192" t="s">
        <v>1216</v>
      </c>
      <c r="D192" t="s">
        <v>615</v>
      </c>
      <c r="E192" t="s">
        <v>1217</v>
      </c>
      <c r="F192" t="s">
        <v>1218</v>
      </c>
      <c r="G192" t="s">
        <v>1065</v>
      </c>
    </row>
    <row r="193" spans="1:7" x14ac:dyDescent="0.35">
      <c r="A193" t="s">
        <v>1219</v>
      </c>
      <c r="B193" t="s">
        <v>1220</v>
      </c>
      <c r="C193" t="s">
        <v>1221</v>
      </c>
      <c r="D193" t="s">
        <v>43</v>
      </c>
      <c r="E193" t="s">
        <v>1222</v>
      </c>
      <c r="F193" t="s">
        <v>1223</v>
      </c>
      <c r="G193" t="s">
        <v>1224</v>
      </c>
    </row>
    <row r="194" spans="1:7" x14ac:dyDescent="0.35">
      <c r="A194" t="s">
        <v>1225</v>
      </c>
      <c r="B194" t="s">
        <v>1226</v>
      </c>
      <c r="C194" t="s">
        <v>1227</v>
      </c>
      <c r="D194" t="s">
        <v>49</v>
      </c>
      <c r="E194" t="s">
        <v>1228</v>
      </c>
      <c r="F194" t="s">
        <v>1229</v>
      </c>
      <c r="G194" t="s">
        <v>1230</v>
      </c>
    </row>
    <row r="195" spans="1:7" x14ac:dyDescent="0.35">
      <c r="A195" t="s">
        <v>1231</v>
      </c>
      <c r="B195" t="s">
        <v>1232</v>
      </c>
      <c r="C195" t="s">
        <v>1233</v>
      </c>
      <c r="D195" t="s">
        <v>195</v>
      </c>
      <c r="E195" t="s">
        <v>1234</v>
      </c>
      <c r="F195" t="s">
        <v>1235</v>
      </c>
      <c r="G195" t="s">
        <v>1236</v>
      </c>
    </row>
    <row r="196" spans="1:7" x14ac:dyDescent="0.35">
      <c r="A196" t="s">
        <v>1237</v>
      </c>
      <c r="B196" t="s">
        <v>1238</v>
      </c>
      <c r="C196" t="s">
        <v>1239</v>
      </c>
      <c r="D196" t="s">
        <v>282</v>
      </c>
      <c r="E196" t="s">
        <v>1240</v>
      </c>
      <c r="F196" t="s">
        <v>1241</v>
      </c>
      <c r="G196" t="s">
        <v>597</v>
      </c>
    </row>
    <row r="197" spans="1:7" x14ac:dyDescent="0.35">
      <c r="A197" t="s">
        <v>1242</v>
      </c>
      <c r="B197" t="s">
        <v>1243</v>
      </c>
      <c r="C197" t="s">
        <v>1244</v>
      </c>
      <c r="D197" t="s">
        <v>49</v>
      </c>
      <c r="E197" t="s">
        <v>1245</v>
      </c>
      <c r="F197" t="s">
        <v>1246</v>
      </c>
      <c r="G197" t="s">
        <v>1247</v>
      </c>
    </row>
    <row r="198" spans="1:7" x14ac:dyDescent="0.35">
      <c r="A198" t="s">
        <v>1248</v>
      </c>
      <c r="B198" t="s">
        <v>1249</v>
      </c>
      <c r="C198" t="s">
        <v>1250</v>
      </c>
      <c r="D198" t="s">
        <v>882</v>
      </c>
      <c r="E198" t="s">
        <v>1251</v>
      </c>
      <c r="F198" t="s">
        <v>1252</v>
      </c>
      <c r="G198" t="s">
        <v>1253</v>
      </c>
    </row>
    <row r="199" spans="1:7" x14ac:dyDescent="0.35">
      <c r="A199" t="s">
        <v>1254</v>
      </c>
      <c r="B199" t="s">
        <v>1255</v>
      </c>
      <c r="C199" t="s">
        <v>1256</v>
      </c>
      <c r="D199" t="s">
        <v>839</v>
      </c>
      <c r="E199" t="s">
        <v>1257</v>
      </c>
      <c r="F199" t="s">
        <v>1258</v>
      </c>
      <c r="G199" t="s">
        <v>1259</v>
      </c>
    </row>
    <row r="200" spans="1:7" x14ac:dyDescent="0.35">
      <c r="A200" t="s">
        <v>1260</v>
      </c>
      <c r="B200" t="s">
        <v>1261</v>
      </c>
      <c r="C200" t="s">
        <v>1262</v>
      </c>
      <c r="D200" t="s">
        <v>397</v>
      </c>
      <c r="E200" t="s">
        <v>1263</v>
      </c>
      <c r="F200" t="s">
        <v>1264</v>
      </c>
      <c r="G200" t="s">
        <v>1265</v>
      </c>
    </row>
    <row r="201" spans="1:7" x14ac:dyDescent="0.35">
      <c r="A201" t="s">
        <v>1266</v>
      </c>
      <c r="B201" t="s">
        <v>1267</v>
      </c>
      <c r="C201" t="s">
        <v>1268</v>
      </c>
      <c r="D201" t="s">
        <v>17</v>
      </c>
      <c r="E201" t="s">
        <v>1269</v>
      </c>
      <c r="F201" t="s">
        <v>1270</v>
      </c>
      <c r="G201" t="s">
        <v>1271</v>
      </c>
    </row>
    <row r="202" spans="1:7" x14ac:dyDescent="0.35">
      <c r="A202" t="s">
        <v>1272</v>
      </c>
      <c r="B202" t="s">
        <v>1273</v>
      </c>
      <c r="C202" t="s">
        <v>1274</v>
      </c>
      <c r="D202" t="s">
        <v>686</v>
      </c>
      <c r="E202" t="s">
        <v>1275</v>
      </c>
      <c r="F202" t="s">
        <v>1276</v>
      </c>
      <c r="G202" t="s">
        <v>1277</v>
      </c>
    </row>
    <row r="203" spans="1:7" x14ac:dyDescent="0.35">
      <c r="A203" t="s">
        <v>1278</v>
      </c>
      <c r="B203" t="s">
        <v>1279</v>
      </c>
      <c r="C203" t="s">
        <v>1280</v>
      </c>
      <c r="D203" t="s">
        <v>49</v>
      </c>
      <c r="E203" t="s">
        <v>1281</v>
      </c>
      <c r="F203" t="s">
        <v>1282</v>
      </c>
      <c r="G203" t="s">
        <v>1283</v>
      </c>
    </row>
    <row r="204" spans="1:7" x14ac:dyDescent="0.35">
      <c r="A204" t="s">
        <v>1284</v>
      </c>
      <c r="B204" t="s">
        <v>1285</v>
      </c>
      <c r="C204" t="s">
        <v>1286</v>
      </c>
      <c r="D204" t="s">
        <v>514</v>
      </c>
      <c r="E204" t="s">
        <v>1287</v>
      </c>
      <c r="F204" t="s">
        <v>1288</v>
      </c>
      <c r="G204" t="s">
        <v>597</v>
      </c>
    </row>
    <row r="205" spans="1:7" x14ac:dyDescent="0.35">
      <c r="A205" t="s">
        <v>1289</v>
      </c>
      <c r="B205" t="s">
        <v>1289</v>
      </c>
      <c r="C205" t="s">
        <v>1290</v>
      </c>
      <c r="D205" t="s">
        <v>1291</v>
      </c>
      <c r="E205" t="s">
        <v>1292</v>
      </c>
      <c r="F205" t="s">
        <v>1293</v>
      </c>
      <c r="G205" t="s">
        <v>1294</v>
      </c>
    </row>
    <row r="206" spans="1:7" x14ac:dyDescent="0.35">
      <c r="A206" t="s">
        <v>1295</v>
      </c>
      <c r="B206" t="s">
        <v>1296</v>
      </c>
      <c r="C206" t="s">
        <v>1297</v>
      </c>
      <c r="D206" t="s">
        <v>1298</v>
      </c>
      <c r="E206" t="s">
        <v>1299</v>
      </c>
      <c r="F206" t="s">
        <v>1300</v>
      </c>
      <c r="G206" t="s">
        <v>1301</v>
      </c>
    </row>
    <row r="207" spans="1:7" x14ac:dyDescent="0.35">
      <c r="A207" t="s">
        <v>1302</v>
      </c>
      <c r="B207" t="s">
        <v>1303</v>
      </c>
      <c r="C207" t="s">
        <v>1304</v>
      </c>
      <c r="D207" t="s">
        <v>615</v>
      </c>
      <c r="E207" t="s">
        <v>1305</v>
      </c>
      <c r="F207" t="s">
        <v>1306</v>
      </c>
      <c r="G207" t="s">
        <v>1209</v>
      </c>
    </row>
    <row r="208" spans="1:7" x14ac:dyDescent="0.35">
      <c r="A208" t="s">
        <v>1307</v>
      </c>
      <c r="B208" t="s">
        <v>1308</v>
      </c>
      <c r="C208" t="s">
        <v>1309</v>
      </c>
      <c r="D208" t="s">
        <v>1310</v>
      </c>
      <c r="E208" t="s">
        <v>1311</v>
      </c>
      <c r="F208" t="s">
        <v>1312</v>
      </c>
      <c r="G208" t="s">
        <v>1313</v>
      </c>
    </row>
    <row r="209" spans="1:7" x14ac:dyDescent="0.35">
      <c r="A209" t="s">
        <v>1314</v>
      </c>
      <c r="B209" t="s">
        <v>1315</v>
      </c>
      <c r="C209" t="s">
        <v>1316</v>
      </c>
      <c r="D209" t="s">
        <v>1317</v>
      </c>
      <c r="E209" t="s">
        <v>1318</v>
      </c>
      <c r="F209" t="s">
        <v>1319</v>
      </c>
      <c r="G209" t="s">
        <v>1320</v>
      </c>
    </row>
    <row r="210" spans="1:7" x14ac:dyDescent="0.35">
      <c r="A210" t="s">
        <v>1321</v>
      </c>
      <c r="B210" t="s">
        <v>1322</v>
      </c>
      <c r="C210" t="s">
        <v>1323</v>
      </c>
      <c r="D210" t="s">
        <v>188</v>
      </c>
      <c r="E210" t="s">
        <v>1324</v>
      </c>
      <c r="F210" t="s">
        <v>1325</v>
      </c>
      <c r="G210" t="s">
        <v>1326</v>
      </c>
    </row>
    <row r="211" spans="1:7" x14ac:dyDescent="0.35">
      <c r="A211" t="s">
        <v>1327</v>
      </c>
      <c r="B211" t="s">
        <v>1328</v>
      </c>
      <c r="C211" t="s">
        <v>1329</v>
      </c>
      <c r="D211" t="s">
        <v>1330</v>
      </c>
      <c r="E211" t="s">
        <v>1331</v>
      </c>
      <c r="F211" t="s">
        <v>1332</v>
      </c>
      <c r="G211" t="s">
        <v>1333</v>
      </c>
    </row>
    <row r="212" spans="1:7" x14ac:dyDescent="0.35">
      <c r="A212" t="s">
        <v>1334</v>
      </c>
      <c r="B212" t="s">
        <v>1335</v>
      </c>
      <c r="C212" t="s">
        <v>1336</v>
      </c>
      <c r="D212" t="s">
        <v>49</v>
      </c>
      <c r="E212" t="s">
        <v>1337</v>
      </c>
      <c r="F212" t="s">
        <v>1338</v>
      </c>
      <c r="G212" t="s">
        <v>1339</v>
      </c>
    </row>
    <row r="213" spans="1:7" x14ac:dyDescent="0.35">
      <c r="A213" t="s">
        <v>1340</v>
      </c>
      <c r="B213" t="s">
        <v>1341</v>
      </c>
      <c r="C213" t="s">
        <v>1342</v>
      </c>
      <c r="D213" t="s">
        <v>1343</v>
      </c>
      <c r="E213" t="s">
        <v>1344</v>
      </c>
      <c r="F213" t="s">
        <v>1345</v>
      </c>
      <c r="G213" t="s">
        <v>1346</v>
      </c>
    </row>
    <row r="214" spans="1:7" x14ac:dyDescent="0.35">
      <c r="A214" t="s">
        <v>1347</v>
      </c>
      <c r="B214" t="s">
        <v>1348</v>
      </c>
      <c r="C214" t="s">
        <v>1349</v>
      </c>
      <c r="D214" t="s">
        <v>686</v>
      </c>
      <c r="E214" t="s">
        <v>1350</v>
      </c>
      <c r="F214" t="s">
        <v>1351</v>
      </c>
      <c r="G214" t="s">
        <v>1352</v>
      </c>
    </row>
    <row r="215" spans="1:7" x14ac:dyDescent="0.35">
      <c r="A215" t="s">
        <v>1353</v>
      </c>
      <c r="B215" t="s">
        <v>1354</v>
      </c>
      <c r="C215" t="s">
        <v>251</v>
      </c>
      <c r="D215" t="s">
        <v>615</v>
      </c>
      <c r="E215" t="s">
        <v>1355</v>
      </c>
      <c r="F215" t="s">
        <v>1356</v>
      </c>
      <c r="G215" t="s">
        <v>1357</v>
      </c>
    </row>
    <row r="216" spans="1:7" x14ac:dyDescent="0.35">
      <c r="A216" t="s">
        <v>1358</v>
      </c>
      <c r="B216" t="s">
        <v>1359</v>
      </c>
      <c r="C216" t="s">
        <v>1155</v>
      </c>
      <c r="D216" t="s">
        <v>773</v>
      </c>
      <c r="E216" t="s">
        <v>1360</v>
      </c>
      <c r="F216" t="s">
        <v>1361</v>
      </c>
      <c r="G216" t="s">
        <v>1362</v>
      </c>
    </row>
    <row r="217" spans="1:7" x14ac:dyDescent="0.35">
      <c r="A217" t="s">
        <v>1363</v>
      </c>
      <c r="B217" t="s">
        <v>1364</v>
      </c>
      <c r="C217" t="s">
        <v>1365</v>
      </c>
      <c r="D217" t="s">
        <v>1366</v>
      </c>
      <c r="E217" t="s">
        <v>1367</v>
      </c>
      <c r="F217" t="s">
        <v>1368</v>
      </c>
      <c r="G217" t="s">
        <v>1369</v>
      </c>
    </row>
    <row r="218" spans="1:7" x14ac:dyDescent="0.35">
      <c r="A218" t="s">
        <v>1370</v>
      </c>
      <c r="B218" t="s">
        <v>1371</v>
      </c>
      <c r="C218" t="s">
        <v>1372</v>
      </c>
      <c r="D218" t="s">
        <v>1373</v>
      </c>
      <c r="E218" t="s">
        <v>1374</v>
      </c>
      <c r="F218" t="s">
        <v>1375</v>
      </c>
      <c r="G218" t="s">
        <v>1376</v>
      </c>
    </row>
    <row r="219" spans="1:7" x14ac:dyDescent="0.35">
      <c r="A219" t="s">
        <v>1377</v>
      </c>
      <c r="B219" t="s">
        <v>1378</v>
      </c>
      <c r="C219" t="s">
        <v>1379</v>
      </c>
      <c r="D219" t="s">
        <v>49</v>
      </c>
      <c r="E219" t="s">
        <v>1380</v>
      </c>
      <c r="F219" t="s">
        <v>1381</v>
      </c>
      <c r="G219" t="s">
        <v>1382</v>
      </c>
    </row>
    <row r="220" spans="1:7" x14ac:dyDescent="0.35">
      <c r="A220" t="s">
        <v>1383</v>
      </c>
      <c r="B220" t="s">
        <v>1384</v>
      </c>
      <c r="C220" t="s">
        <v>1385</v>
      </c>
      <c r="D220" t="s">
        <v>397</v>
      </c>
      <c r="E220" t="s">
        <v>1386</v>
      </c>
      <c r="F220" t="s">
        <v>1387</v>
      </c>
      <c r="G220" t="s">
        <v>1388</v>
      </c>
    </row>
    <row r="221" spans="1:7" x14ac:dyDescent="0.35">
      <c r="A221" t="s">
        <v>1389</v>
      </c>
      <c r="B221" t="s">
        <v>1390</v>
      </c>
      <c r="C221" t="s">
        <v>1391</v>
      </c>
      <c r="D221" t="s">
        <v>49</v>
      </c>
      <c r="E221" t="s">
        <v>1392</v>
      </c>
      <c r="F221" t="s">
        <v>1393</v>
      </c>
      <c r="G221" t="s">
        <v>1394</v>
      </c>
    </row>
    <row r="222" spans="1:7" x14ac:dyDescent="0.35">
      <c r="A222" t="s">
        <v>1395</v>
      </c>
      <c r="B222" t="s">
        <v>1396</v>
      </c>
      <c r="C222" t="s">
        <v>1397</v>
      </c>
      <c r="D222" t="s">
        <v>474</v>
      </c>
      <c r="E222" t="s">
        <v>1398</v>
      </c>
      <c r="F222" t="s">
        <v>1399</v>
      </c>
      <c r="G222" t="s">
        <v>1400</v>
      </c>
    </row>
    <row r="223" spans="1:7" x14ac:dyDescent="0.35">
      <c r="A223" t="s">
        <v>1401</v>
      </c>
      <c r="B223" t="s">
        <v>1401</v>
      </c>
      <c r="C223" t="s">
        <v>1402</v>
      </c>
      <c r="D223" t="s">
        <v>31</v>
      </c>
      <c r="E223" t="s">
        <v>1403</v>
      </c>
      <c r="F223" t="s">
        <v>637</v>
      </c>
      <c r="G223" t="s">
        <v>1404</v>
      </c>
    </row>
    <row r="224" spans="1:7" x14ac:dyDescent="0.35">
      <c r="A224" t="s">
        <v>1405</v>
      </c>
      <c r="B224" t="s">
        <v>1406</v>
      </c>
      <c r="C224" t="s">
        <v>1407</v>
      </c>
      <c r="D224" t="s">
        <v>49</v>
      </c>
      <c r="E224" t="s">
        <v>1408</v>
      </c>
      <c r="F224" t="s">
        <v>1409</v>
      </c>
      <c r="G224" t="s">
        <v>1410</v>
      </c>
    </row>
    <row r="225" spans="1:7" x14ac:dyDescent="0.35">
      <c r="A225" t="s">
        <v>1411</v>
      </c>
      <c r="B225" t="s">
        <v>1412</v>
      </c>
      <c r="C225" t="s">
        <v>1413</v>
      </c>
      <c r="D225" t="s">
        <v>195</v>
      </c>
      <c r="E225" t="s">
        <v>1414</v>
      </c>
      <c r="F225" t="s">
        <v>1415</v>
      </c>
      <c r="G225" t="s">
        <v>1416</v>
      </c>
    </row>
    <row r="226" spans="1:7" x14ac:dyDescent="0.35">
      <c r="A226" t="s">
        <v>1417</v>
      </c>
      <c r="B226" t="s">
        <v>1418</v>
      </c>
      <c r="C226" t="s">
        <v>1419</v>
      </c>
      <c r="D226" t="s">
        <v>686</v>
      </c>
      <c r="E226" t="s">
        <v>1420</v>
      </c>
      <c r="F226" t="s">
        <v>1421</v>
      </c>
      <c r="G226" t="s">
        <v>1422</v>
      </c>
    </row>
    <row r="227" spans="1:7" x14ac:dyDescent="0.35">
      <c r="A227" t="s">
        <v>1423</v>
      </c>
      <c r="B227" t="s">
        <v>1424</v>
      </c>
      <c r="C227" t="s">
        <v>1425</v>
      </c>
      <c r="D227" t="s">
        <v>302</v>
      </c>
      <c r="E227" t="s">
        <v>1426</v>
      </c>
      <c r="F227" t="s">
        <v>1427</v>
      </c>
      <c r="G227" t="s">
        <v>597</v>
      </c>
    </row>
    <row r="228" spans="1:7" x14ac:dyDescent="0.35">
      <c r="A228" t="s">
        <v>1428</v>
      </c>
      <c r="B228" t="s">
        <v>1429</v>
      </c>
      <c r="C228" t="s">
        <v>1430</v>
      </c>
      <c r="D228" t="s">
        <v>123</v>
      </c>
      <c r="E228" t="s">
        <v>1431</v>
      </c>
      <c r="F228" t="s">
        <v>1432</v>
      </c>
      <c r="G228" t="s">
        <v>1433</v>
      </c>
    </row>
    <row r="229" spans="1:7" x14ac:dyDescent="0.35">
      <c r="A229" t="s">
        <v>1434</v>
      </c>
      <c r="B229" t="s">
        <v>1435</v>
      </c>
      <c r="C229" t="s">
        <v>1436</v>
      </c>
      <c r="D229" t="s">
        <v>96</v>
      </c>
      <c r="E229" t="s">
        <v>1437</v>
      </c>
      <c r="F229" t="s">
        <v>1438</v>
      </c>
      <c r="G229" t="s">
        <v>1439</v>
      </c>
    </row>
    <row r="230" spans="1:7" x14ac:dyDescent="0.35">
      <c r="A230" t="s">
        <v>1440</v>
      </c>
      <c r="B230" t="s">
        <v>67</v>
      </c>
      <c r="C230" t="s">
        <v>1441</v>
      </c>
      <c r="D230" t="s">
        <v>10</v>
      </c>
      <c r="E230" t="s">
        <v>1442</v>
      </c>
      <c r="F230" t="s">
        <v>1443</v>
      </c>
      <c r="G230" t="s">
        <v>1444</v>
      </c>
    </row>
    <row r="231" spans="1:7" x14ac:dyDescent="0.35">
      <c r="A231" t="s">
        <v>1445</v>
      </c>
      <c r="B231" t="s">
        <v>1445</v>
      </c>
      <c r="C231" t="s">
        <v>1446</v>
      </c>
      <c r="D231" t="s">
        <v>1447</v>
      </c>
      <c r="E231" t="s">
        <v>1448</v>
      </c>
      <c r="F231" t="s">
        <v>1449</v>
      </c>
      <c r="G231" t="s">
        <v>1450</v>
      </c>
    </row>
    <row r="232" spans="1:7" x14ac:dyDescent="0.35">
      <c r="A232" t="s">
        <v>1451</v>
      </c>
      <c r="B232" t="s">
        <v>1452</v>
      </c>
      <c r="C232" t="s">
        <v>1453</v>
      </c>
      <c r="D232" t="s">
        <v>181</v>
      </c>
      <c r="E232" t="s">
        <v>1454</v>
      </c>
      <c r="F232" t="s">
        <v>1455</v>
      </c>
      <c r="G232" t="s">
        <v>1456</v>
      </c>
    </row>
    <row r="233" spans="1:7" x14ac:dyDescent="0.35">
      <c r="A233" t="s">
        <v>1457</v>
      </c>
      <c r="B233" t="s">
        <v>1458</v>
      </c>
      <c r="C233" t="s">
        <v>1459</v>
      </c>
      <c r="D233" t="s">
        <v>992</v>
      </c>
      <c r="E233" t="s">
        <v>1460</v>
      </c>
      <c r="F233" t="s">
        <v>1461</v>
      </c>
      <c r="G233" t="s">
        <v>1462</v>
      </c>
    </row>
    <row r="234" spans="1:7" x14ac:dyDescent="0.35">
      <c r="A234" t="s">
        <v>1463</v>
      </c>
      <c r="B234" t="s">
        <v>1464</v>
      </c>
      <c r="C234" t="s">
        <v>1465</v>
      </c>
      <c r="D234" t="s">
        <v>1466</v>
      </c>
      <c r="E234" t="s">
        <v>1467</v>
      </c>
      <c r="F234" t="s">
        <v>1468</v>
      </c>
      <c r="G234" t="s">
        <v>1469</v>
      </c>
    </row>
    <row r="235" spans="1:7" x14ac:dyDescent="0.35">
      <c r="A235" t="s">
        <v>1470</v>
      </c>
      <c r="B235" t="s">
        <v>1471</v>
      </c>
      <c r="C235" t="s">
        <v>1472</v>
      </c>
      <c r="D235" t="s">
        <v>136</v>
      </c>
      <c r="E235" t="s">
        <v>1473</v>
      </c>
      <c r="F235" t="s">
        <v>1474</v>
      </c>
      <c r="G235" t="s">
        <v>898</v>
      </c>
    </row>
    <row r="236" spans="1:7" x14ac:dyDescent="0.35">
      <c r="A236" t="s">
        <v>1475</v>
      </c>
      <c r="B236" t="s">
        <v>1476</v>
      </c>
      <c r="C236" t="s">
        <v>1477</v>
      </c>
      <c r="D236" t="s">
        <v>832</v>
      </c>
      <c r="E236" t="s">
        <v>1478</v>
      </c>
      <c r="F236" t="s">
        <v>1479</v>
      </c>
      <c r="G236" t="s">
        <v>1480</v>
      </c>
    </row>
    <row r="237" spans="1:7" x14ac:dyDescent="0.35">
      <c r="A237" t="s">
        <v>1481</v>
      </c>
      <c r="B237" t="s">
        <v>1482</v>
      </c>
      <c r="C237" t="s">
        <v>1483</v>
      </c>
      <c r="D237" t="s">
        <v>123</v>
      </c>
      <c r="E237" t="s">
        <v>1484</v>
      </c>
      <c r="F237" t="s">
        <v>1485</v>
      </c>
      <c r="G237" t="s">
        <v>1486</v>
      </c>
    </row>
    <row r="238" spans="1:7" x14ac:dyDescent="0.35">
      <c r="A238" t="s">
        <v>1487</v>
      </c>
      <c r="B238" t="s">
        <v>1487</v>
      </c>
      <c r="C238" t="s">
        <v>1488</v>
      </c>
      <c r="D238" t="s">
        <v>1489</v>
      </c>
      <c r="E238" t="s">
        <v>1490</v>
      </c>
      <c r="F238" t="s">
        <v>1491</v>
      </c>
      <c r="G238" t="s">
        <v>1492</v>
      </c>
    </row>
    <row r="239" spans="1:7" x14ac:dyDescent="0.35">
      <c r="A239" t="s">
        <v>1493</v>
      </c>
      <c r="B239" t="s">
        <v>1493</v>
      </c>
      <c r="C239" t="s">
        <v>1494</v>
      </c>
      <c r="D239" t="s">
        <v>195</v>
      </c>
      <c r="E239" t="s">
        <v>1495</v>
      </c>
      <c r="F239" t="s">
        <v>1496</v>
      </c>
      <c r="G239" t="s">
        <v>1497</v>
      </c>
    </row>
    <row r="240" spans="1:7" x14ac:dyDescent="0.35">
      <c r="A240" t="s">
        <v>1498</v>
      </c>
      <c r="B240" t="s">
        <v>1499</v>
      </c>
      <c r="C240" t="s">
        <v>1500</v>
      </c>
      <c r="D240" t="s">
        <v>1501</v>
      </c>
      <c r="E240" t="s">
        <v>1502</v>
      </c>
      <c r="F240" t="s">
        <v>1503</v>
      </c>
      <c r="G240" t="s">
        <v>1504</v>
      </c>
    </row>
    <row r="241" spans="1:7" x14ac:dyDescent="0.35">
      <c r="A241" t="s">
        <v>1505</v>
      </c>
      <c r="B241" t="s">
        <v>1506</v>
      </c>
      <c r="C241" t="s">
        <v>1507</v>
      </c>
      <c r="D241" t="s">
        <v>31</v>
      </c>
      <c r="E241" t="s">
        <v>1508</v>
      </c>
      <c r="F241" t="s">
        <v>1509</v>
      </c>
      <c r="G241" t="s">
        <v>1510</v>
      </c>
    </row>
    <row r="242" spans="1:7" x14ac:dyDescent="0.35">
      <c r="A242" t="s">
        <v>1511</v>
      </c>
      <c r="B242" t="s">
        <v>1512</v>
      </c>
      <c r="C242" t="s">
        <v>1513</v>
      </c>
      <c r="D242" t="s">
        <v>83</v>
      </c>
      <c r="E242" t="s">
        <v>1514</v>
      </c>
      <c r="F242" t="s">
        <v>1515</v>
      </c>
      <c r="G242" t="s">
        <v>1516</v>
      </c>
    </row>
    <row r="243" spans="1:7" x14ac:dyDescent="0.35">
      <c r="A243" t="s">
        <v>1517</v>
      </c>
      <c r="B243" t="s">
        <v>1518</v>
      </c>
      <c r="C243" t="s">
        <v>1519</v>
      </c>
      <c r="D243" t="s">
        <v>1501</v>
      </c>
      <c r="E243" t="s">
        <v>1520</v>
      </c>
      <c r="F243" t="s">
        <v>1521</v>
      </c>
      <c r="G243" t="s">
        <v>1522</v>
      </c>
    </row>
    <row r="244" spans="1:7" x14ac:dyDescent="0.35">
      <c r="A244" t="s">
        <v>1523</v>
      </c>
      <c r="B244" t="s">
        <v>1524</v>
      </c>
      <c r="C244" t="s">
        <v>1525</v>
      </c>
      <c r="D244" t="s">
        <v>1526</v>
      </c>
      <c r="E244" t="s">
        <v>1527</v>
      </c>
      <c r="F244" t="s">
        <v>1528</v>
      </c>
      <c r="G244" t="s">
        <v>1529</v>
      </c>
    </row>
    <row r="245" spans="1:7" x14ac:dyDescent="0.35">
      <c r="A245" t="s">
        <v>1530</v>
      </c>
      <c r="B245" t="s">
        <v>1531</v>
      </c>
      <c r="C245" t="s">
        <v>1532</v>
      </c>
      <c r="D245" t="s">
        <v>31</v>
      </c>
      <c r="E245" t="s">
        <v>1533</v>
      </c>
      <c r="F245" t="s">
        <v>637</v>
      </c>
      <c r="G245" t="s">
        <v>1534</v>
      </c>
    </row>
    <row r="246" spans="1:7" x14ac:dyDescent="0.35">
      <c r="A246" t="s">
        <v>1535</v>
      </c>
      <c r="B246" t="s">
        <v>1536</v>
      </c>
      <c r="C246" t="s">
        <v>1537</v>
      </c>
      <c r="D246" t="s">
        <v>49</v>
      </c>
      <c r="E246" t="s">
        <v>1538</v>
      </c>
      <c r="F246" t="s">
        <v>1539</v>
      </c>
      <c r="G246" t="s">
        <v>1540</v>
      </c>
    </row>
    <row r="247" spans="1:7" x14ac:dyDescent="0.35">
      <c r="A247" t="s">
        <v>1541</v>
      </c>
      <c r="B247" t="s">
        <v>1542</v>
      </c>
      <c r="C247" t="s">
        <v>1543</v>
      </c>
      <c r="D247" t="s">
        <v>1106</v>
      </c>
      <c r="E247" t="s">
        <v>1544</v>
      </c>
      <c r="F247" t="s">
        <v>1545</v>
      </c>
      <c r="G247" t="s">
        <v>1546</v>
      </c>
    </row>
    <row r="248" spans="1:7" x14ac:dyDescent="0.35">
      <c r="A248" t="s">
        <v>1547</v>
      </c>
      <c r="B248" t="s">
        <v>1548</v>
      </c>
      <c r="C248" t="s">
        <v>1549</v>
      </c>
      <c r="D248" t="s">
        <v>1550</v>
      </c>
      <c r="E248" t="s">
        <v>1551</v>
      </c>
      <c r="F248" t="s">
        <v>1552</v>
      </c>
      <c r="G248" t="s">
        <v>1553</v>
      </c>
    </row>
    <row r="249" spans="1:7" x14ac:dyDescent="0.35">
      <c r="A249" t="s">
        <v>1554</v>
      </c>
      <c r="B249" t="s">
        <v>1555</v>
      </c>
      <c r="C249" t="s">
        <v>1556</v>
      </c>
      <c r="D249" t="s">
        <v>588</v>
      </c>
      <c r="E249" t="s">
        <v>1557</v>
      </c>
      <c r="F249" t="s">
        <v>1558</v>
      </c>
      <c r="G249" t="s">
        <v>597</v>
      </c>
    </row>
    <row r="250" spans="1:7" x14ac:dyDescent="0.35">
      <c r="A250" t="s">
        <v>1559</v>
      </c>
      <c r="B250" t="s">
        <v>1560</v>
      </c>
      <c r="C250" t="s">
        <v>1561</v>
      </c>
      <c r="D250" t="s">
        <v>49</v>
      </c>
      <c r="E250" t="s">
        <v>1562</v>
      </c>
      <c r="F250" t="s">
        <v>1563</v>
      </c>
      <c r="G250" t="s">
        <v>1564</v>
      </c>
    </row>
    <row r="251" spans="1:7" x14ac:dyDescent="0.35">
      <c r="A251" t="s">
        <v>1565</v>
      </c>
      <c r="B251" t="s">
        <v>1566</v>
      </c>
      <c r="C251" t="s">
        <v>1567</v>
      </c>
      <c r="D251" t="s">
        <v>1501</v>
      </c>
      <c r="E251" t="s">
        <v>1568</v>
      </c>
      <c r="F251" t="s">
        <v>1569</v>
      </c>
      <c r="G251" t="s">
        <v>1570</v>
      </c>
    </row>
    <row r="252" spans="1:7" x14ac:dyDescent="0.35">
      <c r="A252" t="s">
        <v>1571</v>
      </c>
      <c r="B252" t="s">
        <v>1572</v>
      </c>
      <c r="C252" t="s">
        <v>1573</v>
      </c>
      <c r="D252" t="s">
        <v>705</v>
      </c>
      <c r="E252" t="s">
        <v>1574</v>
      </c>
      <c r="F252" t="s">
        <v>1575</v>
      </c>
      <c r="G252" t="s">
        <v>1576</v>
      </c>
    </row>
    <row r="253" spans="1:7" x14ac:dyDescent="0.35">
      <c r="A253" t="s">
        <v>1577</v>
      </c>
      <c r="B253" t="s">
        <v>1578</v>
      </c>
      <c r="C253" t="s">
        <v>1579</v>
      </c>
      <c r="D253" t="s">
        <v>257</v>
      </c>
      <c r="E253" t="s">
        <v>1580</v>
      </c>
      <c r="F253" t="s">
        <v>1581</v>
      </c>
      <c r="G253" t="s">
        <v>1582</v>
      </c>
    </row>
    <row r="254" spans="1:7" x14ac:dyDescent="0.35">
      <c r="A254" t="s">
        <v>1583</v>
      </c>
      <c r="B254" t="s">
        <v>1584</v>
      </c>
      <c r="C254" t="s">
        <v>1585</v>
      </c>
      <c r="D254" t="s">
        <v>282</v>
      </c>
      <c r="E254" t="s">
        <v>1586</v>
      </c>
      <c r="F254" t="s">
        <v>1587</v>
      </c>
      <c r="G254" t="s">
        <v>597</v>
      </c>
    </row>
    <row r="255" spans="1:7" x14ac:dyDescent="0.35">
      <c r="A255" t="s">
        <v>1588</v>
      </c>
      <c r="B255" t="s">
        <v>1589</v>
      </c>
      <c r="C255" t="s">
        <v>1590</v>
      </c>
      <c r="D255" t="s">
        <v>561</v>
      </c>
      <c r="E255" t="s">
        <v>1591</v>
      </c>
      <c r="F255" t="s">
        <v>1592</v>
      </c>
      <c r="G255" t="s">
        <v>1593</v>
      </c>
    </row>
    <row r="256" spans="1:7" x14ac:dyDescent="0.35">
      <c r="A256" t="s">
        <v>1594</v>
      </c>
      <c r="B256" t="s">
        <v>1595</v>
      </c>
      <c r="C256" t="s">
        <v>1596</v>
      </c>
      <c r="D256" t="s">
        <v>1597</v>
      </c>
      <c r="E256" t="s">
        <v>1598</v>
      </c>
      <c r="F256" t="s">
        <v>1599</v>
      </c>
      <c r="G256" t="s">
        <v>1600</v>
      </c>
    </row>
    <row r="257" spans="1:7" x14ac:dyDescent="0.35">
      <c r="A257" t="s">
        <v>1601</v>
      </c>
      <c r="B257" t="s">
        <v>1602</v>
      </c>
      <c r="C257" t="s">
        <v>1603</v>
      </c>
      <c r="D257" t="s">
        <v>49</v>
      </c>
      <c r="E257" t="s">
        <v>1604</v>
      </c>
      <c r="F257" t="s">
        <v>1605</v>
      </c>
      <c r="G257" t="s">
        <v>1606</v>
      </c>
    </row>
    <row r="258" spans="1:7" x14ac:dyDescent="0.35">
      <c r="A258" t="s">
        <v>1607</v>
      </c>
      <c r="B258" t="s">
        <v>1608</v>
      </c>
      <c r="C258" t="s">
        <v>1609</v>
      </c>
      <c r="D258" t="s">
        <v>839</v>
      </c>
      <c r="E258" t="s">
        <v>1610</v>
      </c>
      <c r="F258" t="s">
        <v>1611</v>
      </c>
      <c r="G258" t="s">
        <v>1612</v>
      </c>
    </row>
    <row r="259" spans="1:7" x14ac:dyDescent="0.35">
      <c r="A259" t="s">
        <v>1613</v>
      </c>
      <c r="B259" t="s">
        <v>1614</v>
      </c>
      <c r="C259" t="s">
        <v>1615</v>
      </c>
      <c r="D259" t="s">
        <v>1616</v>
      </c>
      <c r="E259" t="s">
        <v>1617</v>
      </c>
      <c r="F259" t="s">
        <v>1618</v>
      </c>
      <c r="G259" t="s">
        <v>1619</v>
      </c>
    </row>
    <row r="260" spans="1:7" x14ac:dyDescent="0.35">
      <c r="A260" t="s">
        <v>1620</v>
      </c>
      <c r="B260" t="s">
        <v>1621</v>
      </c>
      <c r="C260" t="s">
        <v>1622</v>
      </c>
      <c r="D260" t="s">
        <v>49</v>
      </c>
      <c r="E260" t="s">
        <v>1623</v>
      </c>
      <c r="F260" t="s">
        <v>1624</v>
      </c>
      <c r="G260" t="s">
        <v>1625</v>
      </c>
    </row>
    <row r="261" spans="1:7" x14ac:dyDescent="0.35">
      <c r="A261" t="s">
        <v>1626</v>
      </c>
      <c r="B261" t="s">
        <v>1627</v>
      </c>
      <c r="C261" t="s">
        <v>1628</v>
      </c>
      <c r="D261" t="s">
        <v>49</v>
      </c>
      <c r="E261" t="s">
        <v>1629</v>
      </c>
      <c r="F261" t="s">
        <v>1630</v>
      </c>
      <c r="G261" t="s">
        <v>1631</v>
      </c>
    </row>
    <row r="262" spans="1:7" x14ac:dyDescent="0.35">
      <c r="A262" t="s">
        <v>1632</v>
      </c>
      <c r="B262" t="s">
        <v>1633</v>
      </c>
      <c r="C262" t="s">
        <v>1634</v>
      </c>
      <c r="D262" t="s">
        <v>1635</v>
      </c>
      <c r="E262" t="s">
        <v>1636</v>
      </c>
      <c r="F262" t="s">
        <v>1637</v>
      </c>
      <c r="G262" t="s">
        <v>1638</v>
      </c>
    </row>
    <row r="263" spans="1:7" x14ac:dyDescent="0.35">
      <c r="A263" t="s">
        <v>1639</v>
      </c>
      <c r="B263" t="s">
        <v>1639</v>
      </c>
      <c r="C263" t="s">
        <v>1640</v>
      </c>
      <c r="D263" t="s">
        <v>1641</v>
      </c>
      <c r="E263" t="s">
        <v>1642</v>
      </c>
      <c r="F263" t="s">
        <v>1643</v>
      </c>
      <c r="G263" t="s">
        <v>597</v>
      </c>
    </row>
    <row r="264" spans="1:7" x14ac:dyDescent="0.35">
      <c r="A264" t="s">
        <v>1644</v>
      </c>
      <c r="B264" t="s">
        <v>1645</v>
      </c>
      <c r="C264" t="s">
        <v>1646</v>
      </c>
      <c r="D264" t="s">
        <v>411</v>
      </c>
      <c r="E264" t="s">
        <v>1647</v>
      </c>
      <c r="F264" t="s">
        <v>1648</v>
      </c>
      <c r="G264" t="s">
        <v>1649</v>
      </c>
    </row>
    <row r="265" spans="1:7" x14ac:dyDescent="0.35">
      <c r="A265" t="s">
        <v>1650</v>
      </c>
      <c r="B265" t="s">
        <v>1651</v>
      </c>
      <c r="C265" t="s">
        <v>1652</v>
      </c>
      <c r="D265" t="s">
        <v>169</v>
      </c>
      <c r="E265" t="s">
        <v>1653</v>
      </c>
      <c r="F265" t="s">
        <v>1654</v>
      </c>
      <c r="G265" t="s">
        <v>1655</v>
      </c>
    </row>
    <row r="266" spans="1:7" x14ac:dyDescent="0.35">
      <c r="A266" t="s">
        <v>1656</v>
      </c>
      <c r="B266" t="s">
        <v>1657</v>
      </c>
      <c r="C266" t="s">
        <v>1658</v>
      </c>
      <c r="D266" t="s">
        <v>116</v>
      </c>
      <c r="E266" t="s">
        <v>1659</v>
      </c>
      <c r="F266" t="s">
        <v>1660</v>
      </c>
      <c r="G266" t="s">
        <v>1661</v>
      </c>
    </row>
    <row r="267" spans="1:7" x14ac:dyDescent="0.35">
      <c r="A267" t="s">
        <v>1662</v>
      </c>
      <c r="B267" t="s">
        <v>1663</v>
      </c>
      <c r="C267" t="s">
        <v>1664</v>
      </c>
      <c r="D267" t="s">
        <v>1665</v>
      </c>
      <c r="E267" t="s">
        <v>1666</v>
      </c>
      <c r="F267" t="s">
        <v>1667</v>
      </c>
      <c r="G267" t="s">
        <v>1668</v>
      </c>
    </row>
    <row r="268" spans="1:7" x14ac:dyDescent="0.35">
      <c r="A268" t="s">
        <v>1669</v>
      </c>
      <c r="B268" t="s">
        <v>1670</v>
      </c>
      <c r="C268" t="s">
        <v>1671</v>
      </c>
      <c r="D268" t="s">
        <v>17</v>
      </c>
      <c r="E268" t="s">
        <v>1672</v>
      </c>
      <c r="F268" t="s">
        <v>1673</v>
      </c>
      <c r="G268" t="s">
        <v>1674</v>
      </c>
    </row>
    <row r="269" spans="1:7" x14ac:dyDescent="0.35">
      <c r="A269" t="s">
        <v>1675</v>
      </c>
      <c r="B269" t="s">
        <v>1676</v>
      </c>
      <c r="C269" t="s">
        <v>1677</v>
      </c>
      <c r="D269" t="s">
        <v>1678</v>
      </c>
      <c r="E269" t="s">
        <v>1679</v>
      </c>
      <c r="F269" t="s">
        <v>1680</v>
      </c>
      <c r="G269" t="s">
        <v>1681</v>
      </c>
    </row>
    <row r="270" spans="1:7" x14ac:dyDescent="0.35">
      <c r="A270" t="s">
        <v>1682</v>
      </c>
      <c r="B270" t="s">
        <v>1683</v>
      </c>
      <c r="C270" t="s">
        <v>1684</v>
      </c>
      <c r="D270" t="s">
        <v>309</v>
      </c>
      <c r="E270" t="s">
        <v>1685</v>
      </c>
      <c r="F270" t="s">
        <v>1686</v>
      </c>
      <c r="G270" t="s">
        <v>1687</v>
      </c>
    </row>
    <row r="271" spans="1:7" x14ac:dyDescent="0.35">
      <c r="A271" t="s">
        <v>1688</v>
      </c>
      <c r="B271" t="s">
        <v>1689</v>
      </c>
      <c r="C271" t="s">
        <v>1690</v>
      </c>
      <c r="D271" t="s">
        <v>49</v>
      </c>
      <c r="E271" t="s">
        <v>1691</v>
      </c>
      <c r="F271" t="s">
        <v>1692</v>
      </c>
      <c r="G271" t="s">
        <v>1693</v>
      </c>
    </row>
    <row r="272" spans="1:7" x14ac:dyDescent="0.35">
      <c r="A272" t="s">
        <v>1694</v>
      </c>
      <c r="B272" t="s">
        <v>1695</v>
      </c>
      <c r="C272" t="s">
        <v>1696</v>
      </c>
      <c r="D272" t="s">
        <v>672</v>
      </c>
      <c r="E272" t="s">
        <v>1697</v>
      </c>
      <c r="F272" t="s">
        <v>1698</v>
      </c>
      <c r="G272" t="s">
        <v>1699</v>
      </c>
    </row>
    <row r="273" spans="1:7" x14ac:dyDescent="0.35">
      <c r="A273" t="s">
        <v>1700</v>
      </c>
      <c r="B273" t="s">
        <v>1701</v>
      </c>
      <c r="C273" t="s">
        <v>1702</v>
      </c>
      <c r="D273" t="s">
        <v>282</v>
      </c>
      <c r="E273" t="s">
        <v>1703</v>
      </c>
      <c r="F273" t="s">
        <v>1704</v>
      </c>
      <c r="G273" t="s">
        <v>1705</v>
      </c>
    </row>
    <row r="274" spans="1:7" x14ac:dyDescent="0.35">
      <c r="A274" t="s">
        <v>1706</v>
      </c>
      <c r="B274" t="s">
        <v>1707</v>
      </c>
      <c r="C274" t="s">
        <v>1708</v>
      </c>
      <c r="D274" t="s">
        <v>257</v>
      </c>
      <c r="E274" t="s">
        <v>1709</v>
      </c>
      <c r="F274" t="s">
        <v>1710</v>
      </c>
      <c r="G274" t="s">
        <v>1711</v>
      </c>
    </row>
    <row r="275" spans="1:7" x14ac:dyDescent="0.35">
      <c r="A275" t="s">
        <v>1712</v>
      </c>
      <c r="B275" t="s">
        <v>1713</v>
      </c>
      <c r="C275" t="s">
        <v>1714</v>
      </c>
      <c r="D275" t="s">
        <v>1715</v>
      </c>
      <c r="E275" t="s">
        <v>1716</v>
      </c>
      <c r="F275" t="s">
        <v>1717</v>
      </c>
      <c r="G275" t="s">
        <v>1718</v>
      </c>
    </row>
    <row r="276" spans="1:7" x14ac:dyDescent="0.35">
      <c r="A276" t="s">
        <v>1719</v>
      </c>
      <c r="B276" t="s">
        <v>1720</v>
      </c>
      <c r="C276" t="s">
        <v>1721</v>
      </c>
      <c r="D276" t="s">
        <v>220</v>
      </c>
      <c r="E276" t="s">
        <v>1722</v>
      </c>
      <c r="F276" t="s">
        <v>1723</v>
      </c>
      <c r="G276" t="s">
        <v>1724</v>
      </c>
    </row>
    <row r="277" spans="1:7" x14ac:dyDescent="0.35">
      <c r="A277" t="s">
        <v>1725</v>
      </c>
      <c r="B277" t="s">
        <v>1726</v>
      </c>
      <c r="C277" t="s">
        <v>1727</v>
      </c>
      <c r="D277" t="s">
        <v>932</v>
      </c>
      <c r="E277" t="s">
        <v>1728</v>
      </c>
      <c r="F277" t="s">
        <v>1729</v>
      </c>
      <c r="G277" t="s">
        <v>1730</v>
      </c>
    </row>
    <row r="278" spans="1:7" x14ac:dyDescent="0.35">
      <c r="A278" t="s">
        <v>1731</v>
      </c>
      <c r="B278" t="s">
        <v>1732</v>
      </c>
      <c r="C278" t="s">
        <v>1733</v>
      </c>
      <c r="D278" t="s">
        <v>31</v>
      </c>
      <c r="E278" t="s">
        <v>1734</v>
      </c>
      <c r="F278" t="s">
        <v>637</v>
      </c>
      <c r="G278" t="s">
        <v>1735</v>
      </c>
    </row>
    <row r="279" spans="1:7" x14ac:dyDescent="0.35">
      <c r="A279" t="s">
        <v>1736</v>
      </c>
      <c r="B279" t="s">
        <v>1737</v>
      </c>
      <c r="C279" t="s">
        <v>1738</v>
      </c>
      <c r="D279" t="s">
        <v>257</v>
      </c>
      <c r="E279" t="s">
        <v>1739</v>
      </c>
      <c r="F279" t="s">
        <v>1740</v>
      </c>
      <c r="G279" t="s">
        <v>1741</v>
      </c>
    </row>
    <row r="280" spans="1:7" x14ac:dyDescent="0.35">
      <c r="A280" t="s">
        <v>1742</v>
      </c>
      <c r="B280" t="s">
        <v>1743</v>
      </c>
      <c r="C280" t="s">
        <v>1744</v>
      </c>
      <c r="D280" t="s">
        <v>343</v>
      </c>
      <c r="E280" t="s">
        <v>1745</v>
      </c>
      <c r="F280" t="s">
        <v>1746</v>
      </c>
      <c r="G280" t="s">
        <v>1747</v>
      </c>
    </row>
    <row r="281" spans="1:7" x14ac:dyDescent="0.35">
      <c r="A281" t="s">
        <v>1748</v>
      </c>
      <c r="B281" t="s">
        <v>1749</v>
      </c>
      <c r="C281" t="s">
        <v>1750</v>
      </c>
      <c r="D281" t="s">
        <v>49</v>
      </c>
      <c r="E281" t="s">
        <v>1751</v>
      </c>
      <c r="F281" t="s">
        <v>1752</v>
      </c>
      <c r="G281" t="s">
        <v>1753</v>
      </c>
    </row>
    <row r="282" spans="1:7" x14ac:dyDescent="0.35">
      <c r="A282" t="s">
        <v>1754</v>
      </c>
      <c r="B282" t="s">
        <v>1755</v>
      </c>
      <c r="C282" t="s">
        <v>1756</v>
      </c>
      <c r="D282" t="s">
        <v>1026</v>
      </c>
      <c r="E282" t="s">
        <v>1757</v>
      </c>
      <c r="F282" t="s">
        <v>1758</v>
      </c>
      <c r="G282" t="s">
        <v>1759</v>
      </c>
    </row>
    <row r="283" spans="1:7" x14ac:dyDescent="0.35">
      <c r="A283" t="s">
        <v>1760</v>
      </c>
      <c r="B283" t="s">
        <v>1761</v>
      </c>
      <c r="C283" t="s">
        <v>1762</v>
      </c>
      <c r="D283" t="s">
        <v>1763</v>
      </c>
      <c r="E283" t="s">
        <v>1764</v>
      </c>
      <c r="F283" t="s">
        <v>1765</v>
      </c>
      <c r="G283" t="s">
        <v>597</v>
      </c>
    </row>
    <row r="284" spans="1:7" x14ac:dyDescent="0.35">
      <c r="A284" t="s">
        <v>1766</v>
      </c>
      <c r="B284" t="s">
        <v>1767</v>
      </c>
      <c r="C284" t="s">
        <v>1768</v>
      </c>
      <c r="D284" t="s">
        <v>1769</v>
      </c>
      <c r="E284" t="s">
        <v>1770</v>
      </c>
      <c r="F284" t="s">
        <v>1771</v>
      </c>
      <c r="G284" t="s">
        <v>1772</v>
      </c>
    </row>
    <row r="285" spans="1:7" x14ac:dyDescent="0.35">
      <c r="A285" t="s">
        <v>1773</v>
      </c>
      <c r="B285" t="s">
        <v>1774</v>
      </c>
      <c r="C285" t="s">
        <v>1775</v>
      </c>
      <c r="D285" t="s">
        <v>1776</v>
      </c>
      <c r="E285" t="s">
        <v>1777</v>
      </c>
      <c r="F285" t="s">
        <v>1778</v>
      </c>
      <c r="G285" t="s">
        <v>1779</v>
      </c>
    </row>
    <row r="286" spans="1:7" x14ac:dyDescent="0.35">
      <c r="A286" t="s">
        <v>1780</v>
      </c>
      <c r="B286" t="s">
        <v>1781</v>
      </c>
      <c r="C286" t="s">
        <v>1782</v>
      </c>
      <c r="D286" t="s">
        <v>129</v>
      </c>
      <c r="E286" t="s">
        <v>1783</v>
      </c>
      <c r="F286" t="s">
        <v>1784</v>
      </c>
      <c r="G286" t="s">
        <v>1785</v>
      </c>
    </row>
    <row r="287" spans="1:7" x14ac:dyDescent="0.35">
      <c r="A287" t="s">
        <v>1786</v>
      </c>
      <c r="B287" t="s">
        <v>1787</v>
      </c>
      <c r="C287" t="s">
        <v>1788</v>
      </c>
      <c r="D287" t="s">
        <v>1789</v>
      </c>
      <c r="E287" t="s">
        <v>1790</v>
      </c>
      <c r="F287" t="s">
        <v>1791</v>
      </c>
      <c r="G287" t="s">
        <v>1792</v>
      </c>
    </row>
    <row r="288" spans="1:7" x14ac:dyDescent="0.35">
      <c r="A288" t="s">
        <v>1793</v>
      </c>
      <c r="B288" t="s">
        <v>1794</v>
      </c>
      <c r="C288" t="s">
        <v>1795</v>
      </c>
      <c r="D288" t="s">
        <v>31</v>
      </c>
      <c r="E288" t="s">
        <v>1796</v>
      </c>
      <c r="F288" t="s">
        <v>637</v>
      </c>
      <c r="G288" t="s">
        <v>1797</v>
      </c>
    </row>
    <row r="289" spans="1:7" x14ac:dyDescent="0.35">
      <c r="A289" t="s">
        <v>1798</v>
      </c>
      <c r="B289" t="s">
        <v>1799</v>
      </c>
      <c r="C289" t="s">
        <v>1800</v>
      </c>
      <c r="D289" t="s">
        <v>315</v>
      </c>
      <c r="E289" t="s">
        <v>1801</v>
      </c>
      <c r="F289" t="s">
        <v>1802</v>
      </c>
      <c r="G289" t="s">
        <v>1576</v>
      </c>
    </row>
    <row r="290" spans="1:7" x14ac:dyDescent="0.35">
      <c r="A290" t="s">
        <v>1803</v>
      </c>
      <c r="B290" t="s">
        <v>1804</v>
      </c>
      <c r="C290" t="s">
        <v>1805</v>
      </c>
      <c r="D290" t="s">
        <v>31</v>
      </c>
      <c r="E290" t="s">
        <v>1806</v>
      </c>
      <c r="F290" t="s">
        <v>637</v>
      </c>
      <c r="G290" t="s">
        <v>1807</v>
      </c>
    </row>
    <row r="291" spans="1:7" x14ac:dyDescent="0.35">
      <c r="A291" t="s">
        <v>1808</v>
      </c>
      <c r="B291" t="s">
        <v>1809</v>
      </c>
      <c r="C291" t="s">
        <v>1810</v>
      </c>
      <c r="D291" t="s">
        <v>10</v>
      </c>
      <c r="E291" t="s">
        <v>1811</v>
      </c>
      <c r="F291" t="s">
        <v>1812</v>
      </c>
      <c r="G291" t="s">
        <v>1813</v>
      </c>
    </row>
    <row r="292" spans="1:7" x14ac:dyDescent="0.35">
      <c r="A292" t="s">
        <v>1814</v>
      </c>
      <c r="B292" t="s">
        <v>1815</v>
      </c>
      <c r="C292" t="s">
        <v>1816</v>
      </c>
      <c r="D292" t="s">
        <v>83</v>
      </c>
      <c r="E292" t="s">
        <v>1817</v>
      </c>
      <c r="F292" t="s">
        <v>1818</v>
      </c>
      <c r="G292" t="s">
        <v>1819</v>
      </c>
    </row>
    <row r="293" spans="1:7" x14ac:dyDescent="0.35">
      <c r="A293" t="s">
        <v>1820</v>
      </c>
      <c r="B293" t="s">
        <v>1821</v>
      </c>
      <c r="C293" t="s">
        <v>1822</v>
      </c>
      <c r="D293" t="s">
        <v>1789</v>
      </c>
      <c r="E293" t="s">
        <v>1823</v>
      </c>
      <c r="F293" t="s">
        <v>1824</v>
      </c>
      <c r="G293" t="s">
        <v>1825</v>
      </c>
    </row>
    <row r="294" spans="1:7" x14ac:dyDescent="0.35">
      <c r="A294" t="s">
        <v>1826</v>
      </c>
      <c r="B294" t="s">
        <v>1827</v>
      </c>
      <c r="C294" t="s">
        <v>1828</v>
      </c>
      <c r="D294" t="s">
        <v>31</v>
      </c>
      <c r="E294" t="s">
        <v>1829</v>
      </c>
      <c r="F294" t="s">
        <v>1830</v>
      </c>
      <c r="G294" t="s">
        <v>597</v>
      </c>
    </row>
    <row r="295" spans="1:7" x14ac:dyDescent="0.35">
      <c r="A295" t="s">
        <v>1831</v>
      </c>
      <c r="B295" t="s">
        <v>1832</v>
      </c>
      <c r="C295" t="s">
        <v>1833</v>
      </c>
      <c r="D295" t="s">
        <v>56</v>
      </c>
      <c r="E295" t="s">
        <v>1834</v>
      </c>
      <c r="F295" t="s">
        <v>1835</v>
      </c>
      <c r="G295" t="s">
        <v>1836</v>
      </c>
    </row>
    <row r="296" spans="1:7" x14ac:dyDescent="0.35">
      <c r="A296" t="s">
        <v>1837</v>
      </c>
      <c r="B296" t="s">
        <v>1838</v>
      </c>
      <c r="C296" t="s">
        <v>1839</v>
      </c>
      <c r="D296" t="s">
        <v>322</v>
      </c>
      <c r="E296" t="s">
        <v>1840</v>
      </c>
      <c r="F296" t="s">
        <v>1841</v>
      </c>
      <c r="G296" t="s">
        <v>1842</v>
      </c>
    </row>
    <row r="297" spans="1:7" x14ac:dyDescent="0.35">
      <c r="A297" t="s">
        <v>1843</v>
      </c>
      <c r="B297" t="s">
        <v>1844</v>
      </c>
      <c r="C297" t="s">
        <v>1845</v>
      </c>
      <c r="D297" t="s">
        <v>397</v>
      </c>
      <c r="E297" t="s">
        <v>1846</v>
      </c>
      <c r="F297" t="s">
        <v>1847</v>
      </c>
      <c r="G297" t="s">
        <v>1848</v>
      </c>
    </row>
    <row r="298" spans="1:7" x14ac:dyDescent="0.35">
      <c r="A298" t="s">
        <v>1849</v>
      </c>
      <c r="B298" t="s">
        <v>1850</v>
      </c>
      <c r="C298" t="s">
        <v>1851</v>
      </c>
      <c r="D298" t="s">
        <v>31</v>
      </c>
      <c r="E298" t="s">
        <v>1852</v>
      </c>
      <c r="F298" t="s">
        <v>1853</v>
      </c>
      <c r="G298" t="s">
        <v>1854</v>
      </c>
    </row>
    <row r="299" spans="1:7" x14ac:dyDescent="0.35">
      <c r="A299" t="s">
        <v>1855</v>
      </c>
      <c r="B299" t="s">
        <v>1856</v>
      </c>
      <c r="C299" t="s">
        <v>1857</v>
      </c>
      <c r="D299" t="s">
        <v>629</v>
      </c>
      <c r="E299" t="s">
        <v>1858</v>
      </c>
      <c r="F299" t="s">
        <v>1859</v>
      </c>
      <c r="G299" t="s">
        <v>1860</v>
      </c>
    </row>
    <row r="300" spans="1:7" x14ac:dyDescent="0.35">
      <c r="A300" t="s">
        <v>1861</v>
      </c>
      <c r="B300" t="s">
        <v>1862</v>
      </c>
      <c r="C300" t="s">
        <v>1863</v>
      </c>
      <c r="D300" t="s">
        <v>1366</v>
      </c>
      <c r="E300" t="s">
        <v>1864</v>
      </c>
      <c r="F300" t="s">
        <v>1865</v>
      </c>
      <c r="G300" t="s">
        <v>1866</v>
      </c>
    </row>
    <row r="301" spans="1:7" x14ac:dyDescent="0.35">
      <c r="A301" t="s">
        <v>1867</v>
      </c>
      <c r="B301" t="s">
        <v>1868</v>
      </c>
      <c r="C301" t="s">
        <v>1869</v>
      </c>
      <c r="D301" t="s">
        <v>49</v>
      </c>
      <c r="E301" t="s">
        <v>1870</v>
      </c>
      <c r="F301" t="s">
        <v>1871</v>
      </c>
      <c r="G301" t="s">
        <v>1872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3E8D0-4F52-4889-9E35-2E028C47F109}">
  <dimension ref="A3:L27"/>
  <sheetViews>
    <sheetView tabSelected="1" zoomScale="74" workbookViewId="0">
      <selection activeCell="G20" sqref="G20"/>
    </sheetView>
  </sheetViews>
  <sheetFormatPr defaultRowHeight="14.5" x14ac:dyDescent="0.35"/>
  <cols>
    <col min="1" max="1" width="17.1796875" bestFit="1" customWidth="1"/>
    <col min="2" max="2" width="16.81640625" bestFit="1" customWidth="1"/>
    <col min="3" max="3" width="13.26953125" bestFit="1" customWidth="1"/>
    <col min="4" max="4" width="18.6328125" bestFit="1" customWidth="1"/>
    <col min="13" max="13" width="13.26953125" bestFit="1" customWidth="1"/>
    <col min="14" max="14" width="18.6328125" customWidth="1"/>
  </cols>
  <sheetData>
    <row r="3" spans="1:12" x14ac:dyDescent="0.35">
      <c r="A3" s="4" t="s">
        <v>1876</v>
      </c>
      <c r="B3" t="s">
        <v>1878</v>
      </c>
      <c r="C3" t="s">
        <v>1879</v>
      </c>
      <c r="D3" t="s">
        <v>1880</v>
      </c>
      <c r="F3" s="6"/>
      <c r="G3" s="6"/>
      <c r="H3" s="6"/>
      <c r="I3" s="6"/>
      <c r="J3" s="6"/>
      <c r="K3" s="6"/>
      <c r="L3" s="6"/>
    </row>
    <row r="4" spans="1:12" x14ac:dyDescent="0.35">
      <c r="A4" s="5" t="s">
        <v>14</v>
      </c>
      <c r="B4" s="7">
        <v>88617.76</v>
      </c>
      <c r="C4" s="7">
        <v>88396.768079800502</v>
      </c>
      <c r="D4" s="7">
        <v>220.9919201994926</v>
      </c>
      <c r="F4" s="6"/>
      <c r="G4" s="6"/>
      <c r="H4" s="6"/>
      <c r="I4" s="6"/>
      <c r="J4" s="6"/>
      <c r="K4" s="6"/>
      <c r="L4" s="6"/>
    </row>
    <row r="5" spans="1:12" x14ac:dyDescent="0.35">
      <c r="A5" s="5" t="s">
        <v>80</v>
      </c>
      <c r="B5" s="7">
        <v>586.88</v>
      </c>
      <c r="C5" s="7">
        <v>585.06629448708998</v>
      </c>
      <c r="D5" s="7">
        <v>1.813705512910019</v>
      </c>
      <c r="F5" s="6"/>
      <c r="G5" s="6"/>
      <c r="H5" s="6"/>
      <c r="I5" s="6"/>
      <c r="J5" s="6"/>
      <c r="K5" s="6"/>
      <c r="L5" s="6"/>
    </row>
    <row r="6" spans="1:12" x14ac:dyDescent="0.35">
      <c r="A6" s="5" t="s">
        <v>35</v>
      </c>
      <c r="B6" s="7">
        <v>855.25</v>
      </c>
      <c r="C6" s="7">
        <v>853.79854247778769</v>
      </c>
      <c r="D6" s="7">
        <v>1.4514575222123085</v>
      </c>
      <c r="F6" s="6"/>
      <c r="G6" s="6"/>
      <c r="H6" s="6"/>
      <c r="I6" s="6"/>
      <c r="J6" s="6"/>
      <c r="K6" s="6"/>
      <c r="L6" s="6"/>
    </row>
    <row r="7" spans="1:12" x14ac:dyDescent="0.35">
      <c r="A7" s="5" t="s">
        <v>1662</v>
      </c>
      <c r="B7" s="7">
        <v>52.74</v>
      </c>
      <c r="C7" s="7">
        <v>52.04776472910293</v>
      </c>
      <c r="D7" s="7">
        <v>0.69223527089707204</v>
      </c>
      <c r="F7" s="6"/>
      <c r="G7" s="6"/>
      <c r="H7" s="6"/>
      <c r="I7" s="6"/>
      <c r="J7" s="6"/>
      <c r="K7" s="6"/>
      <c r="L7" s="6"/>
    </row>
    <row r="8" spans="1:12" x14ac:dyDescent="0.35">
      <c r="A8" s="5" t="s">
        <v>21</v>
      </c>
      <c r="B8" s="7">
        <v>2995.26</v>
      </c>
      <c r="C8" s="7">
        <v>2988.9831354156272</v>
      </c>
      <c r="D8" s="7">
        <v>6.2768645843730155</v>
      </c>
      <c r="F8" s="6"/>
      <c r="G8" s="6"/>
      <c r="H8" s="6"/>
      <c r="I8" s="6"/>
      <c r="J8" s="6"/>
      <c r="K8" s="6"/>
      <c r="L8" s="6"/>
    </row>
    <row r="9" spans="1:12" x14ac:dyDescent="0.35">
      <c r="A9" s="5" t="s">
        <v>447</v>
      </c>
      <c r="B9" s="7">
        <v>4356.1000000000004</v>
      </c>
      <c r="C9" s="7">
        <v>4355.6644335566443</v>
      </c>
      <c r="D9" s="7">
        <v>0.43556644335603778</v>
      </c>
      <c r="F9" s="6"/>
      <c r="G9" s="6"/>
      <c r="H9" s="6"/>
      <c r="I9" s="6"/>
      <c r="J9" s="6"/>
      <c r="K9" s="6"/>
      <c r="L9" s="6"/>
    </row>
    <row r="10" spans="1:12" x14ac:dyDescent="0.35">
      <c r="A10" s="5" t="s">
        <v>93</v>
      </c>
      <c r="B10" s="7">
        <v>469.29</v>
      </c>
      <c r="C10" s="7">
        <v>464.91975430949077</v>
      </c>
      <c r="D10" s="7">
        <v>4.3702456905092504</v>
      </c>
      <c r="F10" s="6"/>
      <c r="G10" s="6"/>
      <c r="H10" s="6"/>
      <c r="I10" s="6"/>
      <c r="J10" s="6"/>
      <c r="K10" s="6"/>
      <c r="L10" s="6"/>
    </row>
    <row r="11" spans="1:12" x14ac:dyDescent="0.35">
      <c r="A11" s="5" t="s">
        <v>669</v>
      </c>
      <c r="B11" s="7">
        <v>65.61</v>
      </c>
      <c r="C11" s="7">
        <v>65.27059291683247</v>
      </c>
      <c r="D11" s="7">
        <v>0.33940708316752932</v>
      </c>
      <c r="F11" s="6"/>
      <c r="G11" s="6"/>
      <c r="H11" s="6"/>
      <c r="I11" s="6"/>
      <c r="J11" s="6"/>
      <c r="K11" s="6"/>
      <c r="L11" s="6"/>
    </row>
    <row r="12" spans="1:12" x14ac:dyDescent="0.35">
      <c r="A12" s="5" t="s">
        <v>53</v>
      </c>
      <c r="B12" s="7">
        <v>125.68</v>
      </c>
      <c r="C12" s="7">
        <v>124.98011137629275</v>
      </c>
      <c r="D12" s="7">
        <v>0.69988862370725258</v>
      </c>
      <c r="F12" s="6"/>
      <c r="G12" s="6"/>
      <c r="H12" s="6"/>
      <c r="I12" s="6"/>
      <c r="J12" s="6"/>
      <c r="K12" s="6"/>
      <c r="L12" s="6"/>
    </row>
    <row r="13" spans="1:12" x14ac:dyDescent="0.35">
      <c r="A13" s="5" t="s">
        <v>1054</v>
      </c>
      <c r="B13" s="7">
        <v>4354.6000000000004</v>
      </c>
      <c r="C13" s="7">
        <v>4337.68303615898</v>
      </c>
      <c r="D13" s="7">
        <v>16.916963841020333</v>
      </c>
      <c r="F13" s="6"/>
      <c r="G13" s="6"/>
      <c r="H13" s="6"/>
      <c r="I13" s="6"/>
      <c r="J13" s="6"/>
      <c r="K13" s="6"/>
      <c r="L13" s="6"/>
    </row>
    <row r="14" spans="1:12" x14ac:dyDescent="0.35">
      <c r="A14" s="5" t="s">
        <v>1877</v>
      </c>
      <c r="B14" s="7">
        <v>102479.17</v>
      </c>
      <c r="C14" s="7">
        <v>102225.18174522834</v>
      </c>
      <c r="D14" s="7">
        <v>253.98825477164542</v>
      </c>
      <c r="F14" s="6"/>
      <c r="G14" s="6"/>
      <c r="H14" s="6"/>
      <c r="I14" s="6"/>
      <c r="J14" s="6"/>
      <c r="K14" s="6"/>
      <c r="L14" s="6"/>
    </row>
    <row r="15" spans="1:12" x14ac:dyDescent="0.35">
      <c r="F15" s="6"/>
      <c r="G15" s="6"/>
      <c r="H15" s="6"/>
      <c r="I15" s="6"/>
      <c r="J15" s="6"/>
      <c r="K15" s="6"/>
      <c r="L15" s="6"/>
    </row>
    <row r="16" spans="1:12" x14ac:dyDescent="0.35">
      <c r="C16" s="4" t="s">
        <v>1876</v>
      </c>
      <c r="D16" t="s">
        <v>1880</v>
      </c>
      <c r="F16" s="6"/>
      <c r="G16" s="6"/>
      <c r="H16" s="6"/>
      <c r="I16" s="6"/>
      <c r="J16" s="6"/>
      <c r="K16" s="6"/>
      <c r="L16" s="6"/>
    </row>
    <row r="17" spans="3:12" x14ac:dyDescent="0.35">
      <c r="C17" s="5" t="s">
        <v>81</v>
      </c>
      <c r="D17" s="7">
        <v>1.813705512910019</v>
      </c>
      <c r="F17" s="6"/>
      <c r="G17" s="6"/>
      <c r="H17" s="6"/>
      <c r="I17" s="6"/>
      <c r="J17" s="6"/>
      <c r="K17" s="6"/>
      <c r="L17" s="6"/>
    </row>
    <row r="18" spans="3:12" x14ac:dyDescent="0.35">
      <c r="C18" s="5" t="s">
        <v>35</v>
      </c>
      <c r="D18" s="7">
        <v>1.4514575222123085</v>
      </c>
      <c r="F18" s="6"/>
      <c r="G18" s="6"/>
      <c r="H18" s="6"/>
      <c r="I18" s="6"/>
      <c r="J18" s="6"/>
      <c r="K18" s="6"/>
      <c r="L18" s="6"/>
    </row>
    <row r="19" spans="3:12" x14ac:dyDescent="0.35">
      <c r="C19" s="5" t="s">
        <v>15</v>
      </c>
      <c r="D19" s="7">
        <v>220.9919201994926</v>
      </c>
    </row>
    <row r="20" spans="3:12" x14ac:dyDescent="0.35">
      <c r="C20" s="5" t="s">
        <v>22</v>
      </c>
      <c r="D20" s="7">
        <v>6.2768645843730155</v>
      </c>
    </row>
    <row r="21" spans="3:12" x14ac:dyDescent="0.35">
      <c r="C21" s="5" t="s">
        <v>670</v>
      </c>
      <c r="D21" s="7">
        <v>0.33940708316752932</v>
      </c>
    </row>
    <row r="22" spans="3:12" x14ac:dyDescent="0.35">
      <c r="C22" s="5" t="s">
        <v>54</v>
      </c>
      <c r="D22" s="7">
        <v>0.69988862370725258</v>
      </c>
    </row>
    <row r="23" spans="3:12" x14ac:dyDescent="0.35">
      <c r="C23" s="5" t="s">
        <v>448</v>
      </c>
      <c r="D23" s="7">
        <v>0.43556644335603778</v>
      </c>
    </row>
    <row r="24" spans="3:12" x14ac:dyDescent="0.35">
      <c r="C24" s="5" t="s">
        <v>1055</v>
      </c>
      <c r="D24" s="7">
        <v>16.916963841020333</v>
      </c>
    </row>
    <row r="25" spans="3:12" x14ac:dyDescent="0.35">
      <c r="C25" s="5" t="s">
        <v>94</v>
      </c>
      <c r="D25" s="7">
        <v>4.3702456905092504</v>
      </c>
    </row>
    <row r="26" spans="3:12" x14ac:dyDescent="0.35">
      <c r="C26" s="5" t="s">
        <v>1663</v>
      </c>
      <c r="D26" s="7">
        <v>0.69223527089707204</v>
      </c>
    </row>
    <row r="27" spans="3:12" x14ac:dyDescent="0.35">
      <c r="C27" s="5" t="s">
        <v>1877</v>
      </c>
      <c r="D27" s="7">
        <v>253.98825477164542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76055-94D1-469B-AD11-4D1C68A06843}">
  <dimension ref="A1:J301"/>
  <sheetViews>
    <sheetView workbookViewId="0">
      <selection activeCell="C5" sqref="C5"/>
    </sheetView>
  </sheetViews>
  <sheetFormatPr defaultRowHeight="14.5" x14ac:dyDescent="0.35"/>
  <cols>
    <col min="1" max="1" width="46.1796875" bestFit="1" customWidth="1"/>
    <col min="2" max="2" width="11.453125" bestFit="1" customWidth="1"/>
    <col min="3" max="3" width="14.6328125" bestFit="1" customWidth="1"/>
    <col min="4" max="4" width="17.26953125" bestFit="1" customWidth="1"/>
    <col min="5" max="5" width="16.7265625" bestFit="1" customWidth="1"/>
    <col min="6" max="6" width="20.6328125" bestFit="1" customWidth="1"/>
    <col min="7" max="7" width="20.26953125" bestFit="1" customWidth="1"/>
    <col min="8" max="8" width="16.08984375" customWidth="1"/>
    <col min="9" max="9" width="13.7265625" customWidth="1"/>
    <col min="10" max="10" width="13" customWidth="1"/>
  </cols>
  <sheetData>
    <row r="1" spans="1:10" x14ac:dyDescent="0.35">
      <c r="A1" s="1" t="s">
        <v>0</v>
      </c>
      <c r="B1" s="1" t="s">
        <v>1</v>
      </c>
      <c r="C1" s="1" t="s">
        <v>2</v>
      </c>
      <c r="D1" s="1" t="s">
        <v>3</v>
      </c>
      <c r="E1" s="1" t="s">
        <v>4</v>
      </c>
      <c r="F1" s="1" t="s">
        <v>5</v>
      </c>
      <c r="G1" s="1" t="s">
        <v>6</v>
      </c>
      <c r="H1" s="1" t="s">
        <v>1873</v>
      </c>
      <c r="I1" s="3" t="s">
        <v>1875</v>
      </c>
      <c r="J1" s="1" t="s">
        <v>1874</v>
      </c>
    </row>
    <row r="2" spans="1:10" x14ac:dyDescent="0.35">
      <c r="A2" t="s">
        <v>7</v>
      </c>
      <c r="B2" t="s">
        <v>8</v>
      </c>
      <c r="C2">
        <v>186.71</v>
      </c>
      <c r="D2" t="s">
        <v>10</v>
      </c>
      <c r="E2" t="s">
        <v>11</v>
      </c>
      <c r="F2" t="s">
        <v>12</v>
      </c>
      <c r="G2" t="s">
        <v>13</v>
      </c>
      <c r="H2">
        <f t="shared" ref="H2:H65" si="0">C2/(1+D2)</f>
        <v>186.59804117529484</v>
      </c>
      <c r="I2">
        <f t="shared" ref="I2:I65" si="1">C2 - H2</f>
        <v>0.11195882470516949</v>
      </c>
      <c r="J2" t="str">
        <f t="shared" ref="J2:J65" si="2">IF(C2&gt;=10,"&gt;= $10","&lt; $10")</f>
        <v>&gt;= $10</v>
      </c>
    </row>
    <row r="3" spans="1:10" x14ac:dyDescent="0.35">
      <c r="A3" t="s">
        <v>14</v>
      </c>
      <c r="B3" t="s">
        <v>15</v>
      </c>
      <c r="C3" s="2">
        <v>88617.76</v>
      </c>
      <c r="D3" t="s">
        <v>17</v>
      </c>
      <c r="E3" t="s">
        <v>18</v>
      </c>
      <c r="F3" t="s">
        <v>19</v>
      </c>
      <c r="G3" t="s">
        <v>20</v>
      </c>
      <c r="H3">
        <f t="shared" si="0"/>
        <v>88396.768079800502</v>
      </c>
      <c r="I3">
        <f t="shared" si="1"/>
        <v>220.9919201994926</v>
      </c>
      <c r="J3" t="str">
        <f t="shared" si="2"/>
        <v>&gt;= $10</v>
      </c>
    </row>
    <row r="4" spans="1:10" x14ac:dyDescent="0.35">
      <c r="A4" t="s">
        <v>21</v>
      </c>
      <c r="B4" t="s">
        <v>22</v>
      </c>
      <c r="C4" s="2">
        <v>2995.26</v>
      </c>
      <c r="D4" t="s">
        <v>24</v>
      </c>
      <c r="E4" t="s">
        <v>25</v>
      </c>
      <c r="F4" t="s">
        <v>26</v>
      </c>
      <c r="G4" t="s">
        <v>27</v>
      </c>
      <c r="H4">
        <f t="shared" si="0"/>
        <v>2988.9831354156272</v>
      </c>
      <c r="I4">
        <f t="shared" si="1"/>
        <v>6.2768645843730155</v>
      </c>
      <c r="J4" t="str">
        <f t="shared" si="2"/>
        <v>&gt;= $10</v>
      </c>
    </row>
    <row r="5" spans="1:10" x14ac:dyDescent="0.35">
      <c r="A5" t="s">
        <v>28</v>
      </c>
      <c r="B5" t="s">
        <v>29</v>
      </c>
      <c r="C5">
        <v>0.99960000000000004</v>
      </c>
      <c r="D5" t="s">
        <v>31</v>
      </c>
      <c r="E5" t="s">
        <v>32</v>
      </c>
      <c r="F5" t="s">
        <v>33</v>
      </c>
      <c r="G5" t="s">
        <v>34</v>
      </c>
      <c r="H5">
        <f t="shared" si="0"/>
        <v>0.99960000000000004</v>
      </c>
      <c r="I5">
        <f t="shared" si="1"/>
        <v>0</v>
      </c>
      <c r="J5" t="str">
        <f t="shared" si="2"/>
        <v>&lt; $10</v>
      </c>
    </row>
    <row r="6" spans="1:10" x14ac:dyDescent="0.35">
      <c r="A6" t="s">
        <v>35</v>
      </c>
      <c r="B6" t="s">
        <v>35</v>
      </c>
      <c r="C6">
        <v>855.25</v>
      </c>
      <c r="D6" t="s">
        <v>37</v>
      </c>
      <c r="E6" t="s">
        <v>38</v>
      </c>
      <c r="F6" t="s">
        <v>39</v>
      </c>
      <c r="G6" t="s">
        <v>40</v>
      </c>
      <c r="H6">
        <f t="shared" si="0"/>
        <v>853.79854247778769</v>
      </c>
      <c r="I6">
        <f t="shared" si="1"/>
        <v>1.4514575222123085</v>
      </c>
      <c r="J6" t="str">
        <f t="shared" si="2"/>
        <v>&gt;= $10</v>
      </c>
    </row>
    <row r="7" spans="1:10" x14ac:dyDescent="0.35">
      <c r="A7" t="s">
        <v>41</v>
      </c>
      <c r="B7" t="s">
        <v>41</v>
      </c>
      <c r="C7">
        <v>1.93</v>
      </c>
      <c r="D7" t="s">
        <v>43</v>
      </c>
      <c r="E7" t="s">
        <v>44</v>
      </c>
      <c r="F7" t="s">
        <v>45</v>
      </c>
      <c r="G7" t="s">
        <v>46</v>
      </c>
      <c r="H7">
        <f t="shared" si="0"/>
        <v>1.9167742576224056</v>
      </c>
      <c r="I7">
        <f t="shared" si="1"/>
        <v>1.3225742377594329E-2</v>
      </c>
      <c r="J7" t="str">
        <f t="shared" si="2"/>
        <v>&lt; $10</v>
      </c>
    </row>
    <row r="8" spans="1:10" x14ac:dyDescent="0.35">
      <c r="A8" t="s">
        <v>47</v>
      </c>
      <c r="B8" t="s">
        <v>47</v>
      </c>
      <c r="C8">
        <v>0.99970000000000003</v>
      </c>
      <c r="D8" t="s">
        <v>49</v>
      </c>
      <c r="E8" t="s">
        <v>50</v>
      </c>
      <c r="F8" t="s">
        <v>51</v>
      </c>
      <c r="G8" t="s">
        <v>52</v>
      </c>
      <c r="H8">
        <f t="shared" si="0"/>
        <v>0.99960003999600044</v>
      </c>
      <c r="I8">
        <f t="shared" si="1"/>
        <v>9.9960003999588487E-5</v>
      </c>
      <c r="J8" t="str">
        <f t="shared" si="2"/>
        <v>&lt; $10</v>
      </c>
    </row>
    <row r="9" spans="1:10" x14ac:dyDescent="0.35">
      <c r="A9" t="s">
        <v>53</v>
      </c>
      <c r="B9" t="s">
        <v>54</v>
      </c>
      <c r="C9">
        <v>125.68</v>
      </c>
      <c r="D9" t="s">
        <v>56</v>
      </c>
      <c r="E9" t="s">
        <v>57</v>
      </c>
      <c r="F9" t="s">
        <v>58</v>
      </c>
      <c r="G9" t="s">
        <v>59</v>
      </c>
      <c r="H9">
        <f t="shared" si="0"/>
        <v>124.98011137629275</v>
      </c>
      <c r="I9">
        <f t="shared" si="1"/>
        <v>0.69988862370725258</v>
      </c>
      <c r="J9" t="str">
        <f t="shared" si="2"/>
        <v>&gt;= $10</v>
      </c>
    </row>
    <row r="10" spans="1:10" x14ac:dyDescent="0.35">
      <c r="A10" t="s">
        <v>60</v>
      </c>
      <c r="B10" t="s">
        <v>61</v>
      </c>
      <c r="C10">
        <v>0.28510000000000002</v>
      </c>
      <c r="D10" t="s">
        <v>24</v>
      </c>
      <c r="E10" t="s">
        <v>63</v>
      </c>
      <c r="F10" t="s">
        <v>64</v>
      </c>
      <c r="G10" t="s">
        <v>65</v>
      </c>
      <c r="H10">
        <f t="shared" si="0"/>
        <v>0.28450254465622193</v>
      </c>
      <c r="I10">
        <f t="shared" si="1"/>
        <v>5.9745534377808607E-4</v>
      </c>
      <c r="J10" t="str">
        <f t="shared" si="2"/>
        <v>&lt; $10</v>
      </c>
    </row>
    <row r="11" spans="1:10" x14ac:dyDescent="0.35">
      <c r="A11" t="s">
        <v>66</v>
      </c>
      <c r="B11" t="s">
        <v>67</v>
      </c>
      <c r="C11">
        <v>0.1318</v>
      </c>
      <c r="D11" t="s">
        <v>69</v>
      </c>
      <c r="E11" t="s">
        <v>70</v>
      </c>
      <c r="F11" t="s">
        <v>71</v>
      </c>
      <c r="G11" t="s">
        <v>72</v>
      </c>
      <c r="H11">
        <f t="shared" si="0"/>
        <v>0.13075396825396826</v>
      </c>
      <c r="I11">
        <f t="shared" si="1"/>
        <v>1.0460317460317392E-3</v>
      </c>
      <c r="J11" t="str">
        <f t="shared" si="2"/>
        <v>&lt; $10</v>
      </c>
    </row>
    <row r="12" spans="1:10" x14ac:dyDescent="0.35">
      <c r="A12" t="s">
        <v>73</v>
      </c>
      <c r="B12" t="s">
        <v>74</v>
      </c>
      <c r="C12">
        <v>0.37030000000000002</v>
      </c>
      <c r="D12" t="s">
        <v>76</v>
      </c>
      <c r="E12" t="s">
        <v>77</v>
      </c>
      <c r="F12" t="s">
        <v>78</v>
      </c>
      <c r="G12" t="s">
        <v>79</v>
      </c>
      <c r="H12">
        <f t="shared" si="0"/>
        <v>0.36714257386476307</v>
      </c>
      <c r="I12">
        <f t="shared" si="1"/>
        <v>3.1574261352369515E-3</v>
      </c>
      <c r="J12" t="str">
        <f t="shared" si="2"/>
        <v>&lt; $10</v>
      </c>
    </row>
    <row r="13" spans="1:10" x14ac:dyDescent="0.35">
      <c r="A13" t="s">
        <v>80</v>
      </c>
      <c r="B13" t="s">
        <v>81</v>
      </c>
      <c r="C13">
        <v>586.88</v>
      </c>
      <c r="D13" t="s">
        <v>83</v>
      </c>
      <c r="E13" t="s">
        <v>84</v>
      </c>
      <c r="F13" t="s">
        <v>85</v>
      </c>
      <c r="G13" t="s">
        <v>20</v>
      </c>
      <c r="H13">
        <f t="shared" si="0"/>
        <v>585.06629448708998</v>
      </c>
      <c r="I13">
        <f t="shared" si="1"/>
        <v>1.813705512910019</v>
      </c>
      <c r="J13" t="str">
        <f t="shared" si="2"/>
        <v>&gt;= $10</v>
      </c>
    </row>
    <row r="14" spans="1:10" x14ac:dyDescent="0.35">
      <c r="A14" t="s">
        <v>86</v>
      </c>
      <c r="B14" t="s">
        <v>87</v>
      </c>
      <c r="C14">
        <v>12.58</v>
      </c>
      <c r="D14" t="s">
        <v>89</v>
      </c>
      <c r="E14" t="s">
        <v>90</v>
      </c>
      <c r="F14" t="s">
        <v>91</v>
      </c>
      <c r="G14" t="s">
        <v>92</v>
      </c>
      <c r="H14">
        <f t="shared" si="0"/>
        <v>12.490071485305798</v>
      </c>
      <c r="I14">
        <f t="shared" si="1"/>
        <v>8.9928514694202377E-2</v>
      </c>
      <c r="J14" t="str">
        <f t="shared" si="2"/>
        <v>&gt;= $10</v>
      </c>
    </row>
    <row r="15" spans="1:10" x14ac:dyDescent="0.35">
      <c r="A15" t="s">
        <v>93</v>
      </c>
      <c r="B15" t="s">
        <v>94</v>
      </c>
      <c r="C15">
        <v>469.29</v>
      </c>
      <c r="D15" t="s">
        <v>96</v>
      </c>
      <c r="E15" t="s">
        <v>97</v>
      </c>
      <c r="F15" t="s">
        <v>98</v>
      </c>
      <c r="G15" t="s">
        <v>99</v>
      </c>
      <c r="H15">
        <f t="shared" si="0"/>
        <v>464.91975430949077</v>
      </c>
      <c r="I15">
        <f t="shared" si="1"/>
        <v>4.3702456905092504</v>
      </c>
      <c r="J15" t="str">
        <f t="shared" si="2"/>
        <v>&gt;= $10</v>
      </c>
    </row>
    <row r="16" spans="1:10" x14ac:dyDescent="0.35">
      <c r="A16" t="s">
        <v>100</v>
      </c>
      <c r="B16" t="s">
        <v>101</v>
      </c>
      <c r="C16">
        <v>24.21</v>
      </c>
      <c r="D16" t="s">
        <v>103</v>
      </c>
      <c r="E16" t="s">
        <v>104</v>
      </c>
      <c r="F16" t="s">
        <v>105</v>
      </c>
      <c r="G16" t="s">
        <v>106</v>
      </c>
      <c r="H16">
        <f t="shared" si="0"/>
        <v>24.077573346593734</v>
      </c>
      <c r="I16">
        <f t="shared" si="1"/>
        <v>0.13242665340626658</v>
      </c>
      <c r="J16" t="str">
        <f t="shared" si="2"/>
        <v>&gt;= $10</v>
      </c>
    </row>
    <row r="17" spans="1:10" x14ac:dyDescent="0.35">
      <c r="A17" t="s">
        <v>107</v>
      </c>
      <c r="B17" t="s">
        <v>108</v>
      </c>
      <c r="C17">
        <v>3.7179999999999998E-2</v>
      </c>
      <c r="D17" t="s">
        <v>89</v>
      </c>
      <c r="E17" t="s">
        <v>110</v>
      </c>
      <c r="F17" t="s">
        <v>111</v>
      </c>
      <c r="G17" t="s">
        <v>112</v>
      </c>
      <c r="H17">
        <f t="shared" si="0"/>
        <v>3.691421763304209E-2</v>
      </c>
      <c r="I17">
        <f t="shared" si="1"/>
        <v>2.6578236695790763E-4</v>
      </c>
      <c r="J17" t="str">
        <f t="shared" si="2"/>
        <v>&lt; $10</v>
      </c>
    </row>
    <row r="18" spans="1:10" x14ac:dyDescent="0.35">
      <c r="A18" t="s">
        <v>113</v>
      </c>
      <c r="B18" t="s">
        <v>114</v>
      </c>
      <c r="C18">
        <v>3.9899999999999998E-2</v>
      </c>
      <c r="D18" t="s">
        <v>116</v>
      </c>
      <c r="E18" t="s">
        <v>117</v>
      </c>
      <c r="F18" t="s">
        <v>118</v>
      </c>
      <c r="G18" t="s">
        <v>119</v>
      </c>
      <c r="H18">
        <f t="shared" si="0"/>
        <v>3.9844218094667462E-2</v>
      </c>
      <c r="I18">
        <f t="shared" si="1"/>
        <v>5.5781905332535908E-5</v>
      </c>
      <c r="J18" t="str">
        <f t="shared" si="2"/>
        <v>&lt; $10</v>
      </c>
    </row>
    <row r="19" spans="1:10" x14ac:dyDescent="0.35">
      <c r="A19" t="s">
        <v>120</v>
      </c>
      <c r="B19" t="s">
        <v>121</v>
      </c>
      <c r="C19">
        <v>6.3965999999999995E-2</v>
      </c>
      <c r="D19" t="s">
        <v>123</v>
      </c>
      <c r="E19" t="s">
        <v>124</v>
      </c>
      <c r="F19" t="s">
        <v>125</v>
      </c>
      <c r="G19" t="s">
        <v>126</v>
      </c>
      <c r="H19">
        <f t="shared" si="0"/>
        <v>6.3851068077460563E-2</v>
      </c>
      <c r="I19">
        <f t="shared" si="1"/>
        <v>1.1493192253943241E-4</v>
      </c>
      <c r="J19" t="str">
        <f t="shared" si="2"/>
        <v>&lt; $10</v>
      </c>
    </row>
    <row r="20" spans="1:10" x14ac:dyDescent="0.35">
      <c r="A20" t="s">
        <v>127</v>
      </c>
      <c r="B20" t="s">
        <v>127</v>
      </c>
      <c r="C20">
        <v>4.0970000000000002E-5</v>
      </c>
      <c r="D20" t="s">
        <v>129</v>
      </c>
      <c r="E20" t="s">
        <v>130</v>
      </c>
      <c r="F20" t="s">
        <v>131</v>
      </c>
      <c r="G20" t="s">
        <v>132</v>
      </c>
      <c r="H20">
        <f t="shared" si="0"/>
        <v>4.0705414803775466E-5</v>
      </c>
      <c r="I20">
        <f t="shared" si="1"/>
        <v>2.6458519622453663E-7</v>
      </c>
      <c r="J20" t="str">
        <f t="shared" si="2"/>
        <v>&lt; $10</v>
      </c>
    </row>
    <row r="21" spans="1:10" x14ac:dyDescent="0.35">
      <c r="A21" t="s">
        <v>133</v>
      </c>
      <c r="B21" t="s">
        <v>134</v>
      </c>
      <c r="C21">
        <v>2.0209999999999999E-2</v>
      </c>
      <c r="D21" t="s">
        <v>136</v>
      </c>
      <c r="E21" t="s">
        <v>137</v>
      </c>
      <c r="F21" t="s">
        <v>138</v>
      </c>
      <c r="G21" t="s">
        <v>139</v>
      </c>
      <c r="H21">
        <f t="shared" si="0"/>
        <v>2.0185777067518975E-2</v>
      </c>
      <c r="I21">
        <f t="shared" si="1"/>
        <v>2.4222932481023779E-5</v>
      </c>
      <c r="J21" t="str">
        <f t="shared" si="2"/>
        <v>&lt; $10</v>
      </c>
    </row>
    <row r="22" spans="1:10" x14ac:dyDescent="0.35">
      <c r="A22" t="s">
        <v>140</v>
      </c>
      <c r="B22" t="s">
        <v>141</v>
      </c>
      <c r="C22">
        <v>3.7139999999999999E-2</v>
      </c>
      <c r="D22" t="s">
        <v>143</v>
      </c>
      <c r="E22" t="s">
        <v>144</v>
      </c>
      <c r="F22" t="s">
        <v>145</v>
      </c>
      <c r="G22" t="s">
        <v>146</v>
      </c>
      <c r="H22">
        <f t="shared" si="0"/>
        <v>3.6258908522893686E-2</v>
      </c>
      <c r="I22">
        <f t="shared" si="1"/>
        <v>8.810914771063133E-4</v>
      </c>
      <c r="J22" t="str">
        <f t="shared" si="2"/>
        <v>&lt; $10</v>
      </c>
    </row>
    <row r="23" spans="1:10" x14ac:dyDescent="0.35">
      <c r="A23" t="s">
        <v>147</v>
      </c>
      <c r="B23" t="s">
        <v>148</v>
      </c>
      <c r="C23">
        <v>0.3291</v>
      </c>
      <c r="D23" t="s">
        <v>150</v>
      </c>
      <c r="E23" t="s">
        <v>151</v>
      </c>
      <c r="F23" t="s">
        <v>152</v>
      </c>
      <c r="G23" t="s">
        <v>153</v>
      </c>
      <c r="H23">
        <f t="shared" si="0"/>
        <v>0.3271371769383698</v>
      </c>
      <c r="I23">
        <f t="shared" si="1"/>
        <v>1.9628230616302034E-3</v>
      </c>
      <c r="J23" t="str">
        <f t="shared" si="2"/>
        <v>&lt; $10</v>
      </c>
    </row>
    <row r="24" spans="1:10" x14ac:dyDescent="0.35">
      <c r="A24" t="s">
        <v>154</v>
      </c>
      <c r="B24" t="s">
        <v>155</v>
      </c>
      <c r="C24">
        <v>0.108</v>
      </c>
      <c r="D24" t="s">
        <v>157</v>
      </c>
      <c r="E24" t="s">
        <v>158</v>
      </c>
      <c r="F24" t="s">
        <v>159</v>
      </c>
      <c r="G24" t="s">
        <v>160</v>
      </c>
      <c r="H24">
        <f t="shared" si="0"/>
        <v>0.1070260628282628</v>
      </c>
      <c r="I24">
        <f t="shared" si="1"/>
        <v>9.7393717173720196E-4</v>
      </c>
      <c r="J24" t="str">
        <f t="shared" si="2"/>
        <v>&lt; $10</v>
      </c>
    </row>
    <row r="25" spans="1:10" x14ac:dyDescent="0.35">
      <c r="A25" t="s">
        <v>161</v>
      </c>
      <c r="B25" t="s">
        <v>161</v>
      </c>
      <c r="C25">
        <v>8.924E-2</v>
      </c>
      <c r="D25" t="s">
        <v>69</v>
      </c>
      <c r="E25" t="s">
        <v>163</v>
      </c>
      <c r="F25" t="s">
        <v>164</v>
      </c>
      <c r="G25" t="s">
        <v>165</v>
      </c>
      <c r="H25">
        <f t="shared" si="0"/>
        <v>8.8531746031746031E-2</v>
      </c>
      <c r="I25">
        <f t="shared" si="1"/>
        <v>7.0825396825396902E-4</v>
      </c>
      <c r="J25" t="str">
        <f t="shared" si="2"/>
        <v>&lt; $10</v>
      </c>
    </row>
    <row r="26" spans="1:10" x14ac:dyDescent="0.35">
      <c r="A26" t="s">
        <v>166</v>
      </c>
      <c r="B26" t="s">
        <v>167</v>
      </c>
      <c r="C26">
        <v>18.7</v>
      </c>
      <c r="D26" t="s">
        <v>169</v>
      </c>
      <c r="E26" t="s">
        <v>170</v>
      </c>
      <c r="F26" t="s">
        <v>171</v>
      </c>
      <c r="G26" t="s">
        <v>20</v>
      </c>
      <c r="H26">
        <f t="shared" si="0"/>
        <v>18.64964595591902</v>
      </c>
      <c r="I26">
        <f t="shared" si="1"/>
        <v>5.0354044080979321E-2</v>
      </c>
      <c r="J26" t="str">
        <f t="shared" si="2"/>
        <v>&gt;= $10</v>
      </c>
    </row>
    <row r="27" spans="1:10" x14ac:dyDescent="0.35">
      <c r="A27" t="s">
        <v>172</v>
      </c>
      <c r="B27" t="s">
        <v>173</v>
      </c>
      <c r="C27">
        <v>5.9990000000000002E-2</v>
      </c>
      <c r="D27" t="s">
        <v>83</v>
      </c>
      <c r="E27" t="s">
        <v>175</v>
      </c>
      <c r="F27" t="s">
        <v>176</v>
      </c>
      <c r="G27" t="s">
        <v>177</v>
      </c>
      <c r="H27">
        <f t="shared" si="0"/>
        <v>5.9804605722260984E-2</v>
      </c>
      <c r="I27">
        <f t="shared" si="1"/>
        <v>1.8539427773901773E-4</v>
      </c>
      <c r="J27" t="str">
        <f t="shared" si="2"/>
        <v>&lt; $10</v>
      </c>
    </row>
    <row r="28" spans="1:10" x14ac:dyDescent="0.35">
      <c r="A28" t="s">
        <v>178</v>
      </c>
      <c r="B28" t="s">
        <v>179</v>
      </c>
      <c r="C28">
        <v>9.68</v>
      </c>
      <c r="D28" t="s">
        <v>181</v>
      </c>
      <c r="E28" t="s">
        <v>182</v>
      </c>
      <c r="F28" t="s">
        <v>183</v>
      </c>
      <c r="G28" t="s">
        <v>184</v>
      </c>
      <c r="H28">
        <f t="shared" si="0"/>
        <v>9.6184419713831488</v>
      </c>
      <c r="I28">
        <f t="shared" si="1"/>
        <v>6.1558028616850891E-2</v>
      </c>
      <c r="J28" t="str">
        <f t="shared" si="2"/>
        <v>&lt; $10</v>
      </c>
    </row>
    <row r="29" spans="1:10" x14ac:dyDescent="0.35">
      <c r="A29" t="s">
        <v>185</v>
      </c>
      <c r="B29" t="s">
        <v>186</v>
      </c>
      <c r="C29">
        <v>7.1330000000000005E-2</v>
      </c>
      <c r="D29" t="s">
        <v>188</v>
      </c>
      <c r="E29" t="s">
        <v>189</v>
      </c>
      <c r="F29" t="s">
        <v>190</v>
      </c>
      <c r="G29" t="s">
        <v>191</v>
      </c>
      <c r="H29">
        <f t="shared" si="0"/>
        <v>7.060978024153633E-2</v>
      </c>
      <c r="I29">
        <f t="shared" si="1"/>
        <v>7.2021975846367492E-4</v>
      </c>
      <c r="J29" t="str">
        <f t="shared" si="2"/>
        <v>&lt; $10</v>
      </c>
    </row>
    <row r="30" spans="1:10" x14ac:dyDescent="0.35">
      <c r="A30" t="s">
        <v>192</v>
      </c>
      <c r="B30" t="s">
        <v>193</v>
      </c>
      <c r="C30">
        <v>0.83689999999999998</v>
      </c>
      <c r="D30" t="s">
        <v>195</v>
      </c>
      <c r="E30" t="s">
        <v>196</v>
      </c>
      <c r="F30" t="s">
        <v>197</v>
      </c>
      <c r="G30" t="s">
        <v>198</v>
      </c>
      <c r="H30">
        <f t="shared" si="0"/>
        <v>0.83389796731765642</v>
      </c>
      <c r="I30">
        <f t="shared" si="1"/>
        <v>3.0020326823435584E-3</v>
      </c>
      <c r="J30" t="str">
        <f t="shared" si="2"/>
        <v>&lt; $10</v>
      </c>
    </row>
    <row r="31" spans="1:10" x14ac:dyDescent="0.35">
      <c r="A31" t="s">
        <v>199</v>
      </c>
      <c r="B31" t="s">
        <v>200</v>
      </c>
      <c r="C31">
        <v>6.3516000000000003E-2</v>
      </c>
      <c r="D31" t="s">
        <v>83</v>
      </c>
      <c r="E31" t="s">
        <v>202</v>
      </c>
      <c r="F31" t="s">
        <v>203</v>
      </c>
      <c r="G31" t="s">
        <v>204</v>
      </c>
      <c r="H31">
        <f t="shared" si="0"/>
        <v>6.3319708902402544E-2</v>
      </c>
      <c r="I31">
        <f t="shared" si="1"/>
        <v>1.9629109759745911E-4</v>
      </c>
      <c r="J31" t="str">
        <f t="shared" si="2"/>
        <v>&lt; $10</v>
      </c>
    </row>
    <row r="32" spans="1:10" x14ac:dyDescent="0.35">
      <c r="A32" t="s">
        <v>205</v>
      </c>
      <c r="B32" t="s">
        <v>206</v>
      </c>
      <c r="C32">
        <v>7.6319999999999999E-3</v>
      </c>
      <c r="D32" t="s">
        <v>24</v>
      </c>
      <c r="E32" t="s">
        <v>208</v>
      </c>
      <c r="F32" t="s">
        <v>209</v>
      </c>
      <c r="G32" t="s">
        <v>210</v>
      </c>
      <c r="H32">
        <f t="shared" si="0"/>
        <v>7.6160063865881649E-3</v>
      </c>
      <c r="I32">
        <f t="shared" si="1"/>
        <v>1.5993613411834952E-5</v>
      </c>
      <c r="J32" t="str">
        <f t="shared" si="2"/>
        <v>&lt; $10</v>
      </c>
    </row>
    <row r="33" spans="1:10" x14ac:dyDescent="0.35">
      <c r="A33" t="s">
        <v>211</v>
      </c>
      <c r="B33" t="s">
        <v>212</v>
      </c>
      <c r="C33">
        <v>0.99770000000000003</v>
      </c>
      <c r="D33" t="s">
        <v>10</v>
      </c>
      <c r="E33" t="s">
        <v>214</v>
      </c>
      <c r="F33" t="s">
        <v>215</v>
      </c>
      <c r="G33" t="s">
        <v>216</v>
      </c>
      <c r="H33">
        <f t="shared" si="0"/>
        <v>0.99710173895662613</v>
      </c>
      <c r="I33">
        <f t="shared" si="1"/>
        <v>5.982610433739044E-4</v>
      </c>
      <c r="J33" t="str">
        <f t="shared" si="2"/>
        <v>&lt; $10</v>
      </c>
    </row>
    <row r="34" spans="1:10" x14ac:dyDescent="0.35">
      <c r="A34" t="s">
        <v>217</v>
      </c>
      <c r="B34" t="s">
        <v>218</v>
      </c>
      <c r="C34">
        <v>4.53</v>
      </c>
      <c r="D34" t="s">
        <v>220</v>
      </c>
      <c r="E34" t="s">
        <v>221</v>
      </c>
      <c r="F34" t="s">
        <v>222</v>
      </c>
      <c r="G34" t="s">
        <v>223</v>
      </c>
      <c r="H34">
        <f t="shared" si="0"/>
        <v>4.5191540303272149</v>
      </c>
      <c r="I34">
        <f t="shared" si="1"/>
        <v>1.0845969672785394E-2</v>
      </c>
      <c r="J34" t="str">
        <f t="shared" si="2"/>
        <v>&lt; $10</v>
      </c>
    </row>
    <row r="35" spans="1:10" x14ac:dyDescent="0.35">
      <c r="A35" t="s">
        <v>224</v>
      </c>
      <c r="B35" t="s">
        <v>225</v>
      </c>
      <c r="C35">
        <v>9.7530000000000006E-2</v>
      </c>
      <c r="D35" t="s">
        <v>227</v>
      </c>
      <c r="E35" t="s">
        <v>228</v>
      </c>
      <c r="F35" t="s">
        <v>229</v>
      </c>
      <c r="G35" t="s">
        <v>230</v>
      </c>
      <c r="H35">
        <f t="shared" si="0"/>
        <v>9.6060277750418588E-2</v>
      </c>
      <c r="I35">
        <f t="shared" si="1"/>
        <v>1.4697222495814177E-3</v>
      </c>
      <c r="J35" t="str">
        <f t="shared" si="2"/>
        <v>&lt; $10</v>
      </c>
    </row>
    <row r="36" spans="1:10" x14ac:dyDescent="0.35">
      <c r="A36" t="s">
        <v>231</v>
      </c>
      <c r="B36" t="s">
        <v>232</v>
      </c>
      <c r="C36">
        <v>1.1100000000000001</v>
      </c>
      <c r="D36" t="s">
        <v>49</v>
      </c>
      <c r="E36" t="s">
        <v>234</v>
      </c>
      <c r="F36" t="s">
        <v>235</v>
      </c>
      <c r="G36" t="s">
        <v>236</v>
      </c>
      <c r="H36">
        <f t="shared" si="0"/>
        <v>1.1098890110988902</v>
      </c>
      <c r="I36">
        <f t="shared" si="1"/>
        <v>1.1098890110994297E-4</v>
      </c>
      <c r="J36" t="str">
        <f t="shared" si="2"/>
        <v>&lt; $10</v>
      </c>
    </row>
    <row r="37" spans="1:10" x14ac:dyDescent="0.35">
      <c r="A37" t="s">
        <v>237</v>
      </c>
      <c r="B37" t="s">
        <v>238</v>
      </c>
      <c r="C37">
        <v>1.39</v>
      </c>
      <c r="D37" t="s">
        <v>49</v>
      </c>
      <c r="E37" t="s">
        <v>240</v>
      </c>
      <c r="F37" t="s">
        <v>241</v>
      </c>
      <c r="G37" t="s">
        <v>242</v>
      </c>
      <c r="H37">
        <f t="shared" si="0"/>
        <v>1.3898610138986101</v>
      </c>
      <c r="I37">
        <f t="shared" si="1"/>
        <v>1.3898610138984857E-4</v>
      </c>
      <c r="J37" t="str">
        <f t="shared" si="2"/>
        <v>&lt; $10</v>
      </c>
    </row>
    <row r="38" spans="1:10" x14ac:dyDescent="0.35">
      <c r="A38" t="s">
        <v>243</v>
      </c>
      <c r="B38" t="s">
        <v>244</v>
      </c>
      <c r="C38">
        <v>0.99819999999999998</v>
      </c>
      <c r="D38" t="s">
        <v>31</v>
      </c>
      <c r="E38" t="s">
        <v>246</v>
      </c>
      <c r="F38" t="s">
        <v>247</v>
      </c>
      <c r="G38" t="s">
        <v>248</v>
      </c>
      <c r="H38">
        <f t="shared" si="0"/>
        <v>0.99819999999999998</v>
      </c>
      <c r="I38">
        <f t="shared" si="1"/>
        <v>0</v>
      </c>
      <c r="J38" t="str">
        <f t="shared" si="2"/>
        <v>&lt; $10</v>
      </c>
    </row>
    <row r="39" spans="1:10" x14ac:dyDescent="0.35">
      <c r="A39" t="s">
        <v>249</v>
      </c>
      <c r="B39" t="s">
        <v>250</v>
      </c>
      <c r="C39">
        <v>1</v>
      </c>
      <c r="D39" t="s">
        <v>31</v>
      </c>
      <c r="E39" t="s">
        <v>252</v>
      </c>
      <c r="F39" t="s">
        <v>253</v>
      </c>
      <c r="G39" t="s">
        <v>254</v>
      </c>
      <c r="H39">
        <f t="shared" si="0"/>
        <v>1</v>
      </c>
      <c r="I39">
        <f t="shared" si="1"/>
        <v>0</v>
      </c>
      <c r="J39" t="str">
        <f t="shared" si="2"/>
        <v>&lt; $10</v>
      </c>
    </row>
    <row r="40" spans="1:10" x14ac:dyDescent="0.35">
      <c r="A40" t="s">
        <v>255</v>
      </c>
      <c r="B40" t="s">
        <v>255</v>
      </c>
      <c r="C40">
        <v>0.99939999999999996</v>
      </c>
      <c r="D40" t="s">
        <v>257</v>
      </c>
      <c r="E40" t="s">
        <v>258</v>
      </c>
      <c r="F40" t="s">
        <v>259</v>
      </c>
      <c r="G40" t="s">
        <v>260</v>
      </c>
      <c r="H40">
        <f t="shared" si="0"/>
        <v>0.99920015996800637</v>
      </c>
      <c r="I40">
        <f t="shared" si="1"/>
        <v>1.9984003199358114E-4</v>
      </c>
      <c r="J40" t="str">
        <f t="shared" si="2"/>
        <v>&lt; $10</v>
      </c>
    </row>
    <row r="41" spans="1:10" x14ac:dyDescent="0.35">
      <c r="A41" t="s">
        <v>261</v>
      </c>
      <c r="B41" t="s">
        <v>262</v>
      </c>
      <c r="C41">
        <v>0.99409999999999998</v>
      </c>
      <c r="D41" t="s">
        <v>116</v>
      </c>
      <c r="E41" t="s">
        <v>264</v>
      </c>
      <c r="F41" t="s">
        <v>265</v>
      </c>
      <c r="G41" t="s">
        <v>266</v>
      </c>
      <c r="H41">
        <f t="shared" si="0"/>
        <v>0.99271020571200308</v>
      </c>
      <c r="I41">
        <f t="shared" si="1"/>
        <v>1.3897942879969039E-3</v>
      </c>
      <c r="J41" t="str">
        <f t="shared" si="2"/>
        <v>&lt; $10</v>
      </c>
    </row>
    <row r="42" spans="1:10" x14ac:dyDescent="0.35">
      <c r="A42" t="s">
        <v>267</v>
      </c>
      <c r="B42" t="s">
        <v>268</v>
      </c>
      <c r="C42">
        <v>0.27060000000000001</v>
      </c>
      <c r="D42" t="s">
        <v>31</v>
      </c>
      <c r="E42" t="s">
        <v>270</v>
      </c>
      <c r="F42" t="s">
        <v>271</v>
      </c>
      <c r="G42" t="s">
        <v>272</v>
      </c>
      <c r="H42">
        <f t="shared" si="0"/>
        <v>0.27060000000000001</v>
      </c>
      <c r="I42">
        <f t="shared" si="1"/>
        <v>0</v>
      </c>
      <c r="J42" t="str">
        <f t="shared" si="2"/>
        <v>&lt; $10</v>
      </c>
    </row>
    <row r="43" spans="1:10" x14ac:dyDescent="0.35">
      <c r="A43" t="s">
        <v>273</v>
      </c>
      <c r="B43" t="s">
        <v>274</v>
      </c>
      <c r="C43">
        <v>0.60119999999999996</v>
      </c>
      <c r="D43" t="s">
        <v>257</v>
      </c>
      <c r="E43" t="s">
        <v>276</v>
      </c>
      <c r="F43" t="s">
        <v>277</v>
      </c>
      <c r="G43" t="s">
        <v>278</v>
      </c>
      <c r="H43">
        <f t="shared" si="0"/>
        <v>0.60107978404319129</v>
      </c>
      <c r="I43">
        <f t="shared" si="1"/>
        <v>1.2021595680866692E-4</v>
      </c>
      <c r="J43" t="str">
        <f t="shared" si="2"/>
        <v>&lt; $10</v>
      </c>
    </row>
    <row r="44" spans="1:10" x14ac:dyDescent="0.35">
      <c r="A44" t="s">
        <v>279</v>
      </c>
      <c r="B44" t="s">
        <v>280</v>
      </c>
      <c r="C44">
        <v>5.1178000000000001E-2</v>
      </c>
      <c r="D44" t="s">
        <v>282</v>
      </c>
      <c r="E44" t="s">
        <v>283</v>
      </c>
      <c r="F44" t="s">
        <v>284</v>
      </c>
      <c r="G44" t="s">
        <v>285</v>
      </c>
      <c r="H44">
        <f t="shared" si="0"/>
        <v>5.1131981216904793E-2</v>
      </c>
      <c r="I44">
        <f t="shared" si="1"/>
        <v>4.6018783095208571E-5</v>
      </c>
      <c r="J44" t="str">
        <f t="shared" si="2"/>
        <v>&lt; $10</v>
      </c>
    </row>
    <row r="45" spans="1:10" x14ac:dyDescent="0.35">
      <c r="A45" t="s">
        <v>286</v>
      </c>
      <c r="B45" t="s">
        <v>287</v>
      </c>
      <c r="C45">
        <v>6.8589999999999996E-3</v>
      </c>
      <c r="D45" t="s">
        <v>257</v>
      </c>
      <c r="E45" t="s">
        <v>289</v>
      </c>
      <c r="F45" t="s">
        <v>290</v>
      </c>
      <c r="G45" t="s">
        <v>291</v>
      </c>
      <c r="H45">
        <f t="shared" si="0"/>
        <v>6.8576284743051387E-3</v>
      </c>
      <c r="I45">
        <f t="shared" si="1"/>
        <v>1.3715256948609172E-6</v>
      </c>
      <c r="J45" t="str">
        <f t="shared" si="2"/>
        <v>&lt; $10</v>
      </c>
    </row>
    <row r="46" spans="1:10" x14ac:dyDescent="0.35">
      <c r="A46" t="s">
        <v>292</v>
      </c>
      <c r="B46" t="s">
        <v>293</v>
      </c>
      <c r="C46">
        <v>2.67</v>
      </c>
      <c r="D46" t="s">
        <v>295</v>
      </c>
      <c r="E46" t="s">
        <v>296</v>
      </c>
      <c r="F46" t="s">
        <v>297</v>
      </c>
      <c r="G46" t="s">
        <v>298</v>
      </c>
      <c r="H46">
        <f t="shared" si="0"/>
        <v>2.6590976994323272</v>
      </c>
      <c r="I46">
        <f t="shared" si="1"/>
        <v>1.0902300567672718E-2</v>
      </c>
      <c r="J46" t="str">
        <f t="shared" si="2"/>
        <v>&lt; $10</v>
      </c>
    </row>
    <row r="47" spans="1:10" x14ac:dyDescent="0.35">
      <c r="A47" t="s">
        <v>299</v>
      </c>
      <c r="B47" t="s">
        <v>300</v>
      </c>
      <c r="C47">
        <v>8.1470000000000001E-2</v>
      </c>
      <c r="D47" t="s">
        <v>302</v>
      </c>
      <c r="E47" t="s">
        <v>303</v>
      </c>
      <c r="F47" t="s">
        <v>304</v>
      </c>
      <c r="G47" t="s">
        <v>305</v>
      </c>
      <c r="H47">
        <f t="shared" si="0"/>
        <v>8.0671353599366266E-2</v>
      </c>
      <c r="I47">
        <f t="shared" si="1"/>
        <v>7.986464006337346E-4</v>
      </c>
      <c r="J47" t="str">
        <f t="shared" si="2"/>
        <v>&lt; $10</v>
      </c>
    </row>
    <row r="48" spans="1:10" x14ac:dyDescent="0.35">
      <c r="A48" t="s">
        <v>306</v>
      </c>
      <c r="B48" t="s">
        <v>307</v>
      </c>
      <c r="C48">
        <v>6.9639999999999994E-2</v>
      </c>
      <c r="D48" t="s">
        <v>309</v>
      </c>
      <c r="E48" t="s">
        <v>310</v>
      </c>
      <c r="F48" t="s">
        <v>311</v>
      </c>
      <c r="G48" t="s">
        <v>153</v>
      </c>
      <c r="H48">
        <f t="shared" si="0"/>
        <v>6.9314223151189402E-2</v>
      </c>
      <c r="I48">
        <f t="shared" si="1"/>
        <v>3.257768488105911E-4</v>
      </c>
      <c r="J48" t="str">
        <f t="shared" si="2"/>
        <v>&lt; $10</v>
      </c>
    </row>
    <row r="49" spans="1:10" x14ac:dyDescent="0.35">
      <c r="A49" t="s">
        <v>312</v>
      </c>
      <c r="B49" t="s">
        <v>313</v>
      </c>
      <c r="C49">
        <v>4.81E-3</v>
      </c>
      <c r="D49" t="s">
        <v>315</v>
      </c>
      <c r="E49" t="s">
        <v>316</v>
      </c>
      <c r="F49" t="s">
        <v>317</v>
      </c>
      <c r="G49" t="s">
        <v>318</v>
      </c>
      <c r="H49">
        <f t="shared" si="0"/>
        <v>4.7661514070550925E-3</v>
      </c>
      <c r="I49">
        <f t="shared" si="1"/>
        <v>4.3848592944907561E-5</v>
      </c>
      <c r="J49" t="str">
        <f t="shared" si="2"/>
        <v>&lt; $10</v>
      </c>
    </row>
    <row r="50" spans="1:10" x14ac:dyDescent="0.35">
      <c r="A50" t="s">
        <v>319</v>
      </c>
      <c r="B50" t="s">
        <v>320</v>
      </c>
      <c r="C50">
        <v>4.05</v>
      </c>
      <c r="D50" t="s">
        <v>322</v>
      </c>
      <c r="E50" t="s">
        <v>323</v>
      </c>
      <c r="F50" t="s">
        <v>324</v>
      </c>
      <c r="G50" t="s">
        <v>325</v>
      </c>
      <c r="H50">
        <f t="shared" si="0"/>
        <v>4.0358744394618826</v>
      </c>
      <c r="I50">
        <f t="shared" si="1"/>
        <v>1.4125560538117199E-2</v>
      </c>
      <c r="J50" t="str">
        <f t="shared" si="2"/>
        <v>&lt; $10</v>
      </c>
    </row>
    <row r="51" spans="1:10" x14ac:dyDescent="0.35">
      <c r="A51" t="s">
        <v>326</v>
      </c>
      <c r="B51" t="s">
        <v>327</v>
      </c>
      <c r="C51">
        <v>2.8080000000000002E-3</v>
      </c>
      <c r="D51" t="s">
        <v>329</v>
      </c>
      <c r="E51" t="s">
        <v>330</v>
      </c>
      <c r="F51" t="s">
        <v>331</v>
      </c>
      <c r="G51" t="s">
        <v>332</v>
      </c>
      <c r="H51">
        <f t="shared" si="0"/>
        <v>2.8051948051948058E-3</v>
      </c>
      <c r="I51">
        <f t="shared" si="1"/>
        <v>2.8051948051943665E-6</v>
      </c>
      <c r="J51" t="str">
        <f t="shared" si="2"/>
        <v>&lt; $10</v>
      </c>
    </row>
    <row r="52" spans="1:10" x14ac:dyDescent="0.35">
      <c r="A52" t="s">
        <v>333</v>
      </c>
      <c r="B52" t="s">
        <v>334</v>
      </c>
      <c r="C52">
        <v>1.054E-3</v>
      </c>
      <c r="D52" t="s">
        <v>336</v>
      </c>
      <c r="E52" t="s">
        <v>337</v>
      </c>
      <c r="F52" t="s">
        <v>338</v>
      </c>
      <c r="G52" t="s">
        <v>339</v>
      </c>
      <c r="H52">
        <f t="shared" si="0"/>
        <v>1.049173800517619E-3</v>
      </c>
      <c r="I52">
        <f t="shared" si="1"/>
        <v>4.8261994823810099E-6</v>
      </c>
      <c r="J52" t="str">
        <f t="shared" si="2"/>
        <v>&lt; $10</v>
      </c>
    </row>
    <row r="53" spans="1:10" x14ac:dyDescent="0.35">
      <c r="A53" t="s">
        <v>340</v>
      </c>
      <c r="B53" t="s">
        <v>341</v>
      </c>
      <c r="C53">
        <v>5.7540000000000001E-2</v>
      </c>
      <c r="D53" t="s">
        <v>343</v>
      </c>
      <c r="E53" t="s">
        <v>344</v>
      </c>
      <c r="F53" t="s">
        <v>345</v>
      </c>
      <c r="G53" t="s">
        <v>346</v>
      </c>
      <c r="H53">
        <f t="shared" si="0"/>
        <v>5.7134346142389034E-2</v>
      </c>
      <c r="I53">
        <f t="shared" si="1"/>
        <v>4.0565385761096723E-4</v>
      </c>
      <c r="J53" t="str">
        <f t="shared" si="2"/>
        <v>&lt; $10</v>
      </c>
    </row>
    <row r="54" spans="1:10" x14ac:dyDescent="0.35">
      <c r="A54" t="s">
        <v>347</v>
      </c>
      <c r="B54" t="s">
        <v>348</v>
      </c>
      <c r="C54">
        <v>1.0370000000000001E-2</v>
      </c>
      <c r="D54" t="s">
        <v>350</v>
      </c>
      <c r="E54" t="s">
        <v>351</v>
      </c>
      <c r="F54" t="s">
        <v>352</v>
      </c>
      <c r="G54" t="s">
        <v>353</v>
      </c>
      <c r="H54">
        <f t="shared" si="0"/>
        <v>1.0320461783439492E-2</v>
      </c>
      <c r="I54">
        <f t="shared" si="1"/>
        <v>4.9538216560509121E-5</v>
      </c>
      <c r="J54" t="str">
        <f t="shared" si="2"/>
        <v>&lt; $10</v>
      </c>
    </row>
    <row r="55" spans="1:10" x14ac:dyDescent="0.35">
      <c r="A55" t="s">
        <v>354</v>
      </c>
      <c r="B55" t="s">
        <v>355</v>
      </c>
      <c r="C55">
        <v>1.04E-2</v>
      </c>
      <c r="D55" t="s">
        <v>357</v>
      </c>
      <c r="E55" t="s">
        <v>358</v>
      </c>
      <c r="F55" t="s">
        <v>359</v>
      </c>
      <c r="G55" t="s">
        <v>360</v>
      </c>
      <c r="H55">
        <f t="shared" si="0"/>
        <v>1.0313367711225704E-2</v>
      </c>
      <c r="I55">
        <f t="shared" si="1"/>
        <v>8.6632288774295824E-5</v>
      </c>
      <c r="J55" t="str">
        <f t="shared" si="2"/>
        <v>&lt; $10</v>
      </c>
    </row>
    <row r="56" spans="1:10" x14ac:dyDescent="0.35">
      <c r="A56" t="s">
        <v>361</v>
      </c>
      <c r="B56" t="s">
        <v>362</v>
      </c>
      <c r="C56">
        <v>0.15579999999999999</v>
      </c>
      <c r="D56" t="s">
        <v>364</v>
      </c>
      <c r="E56" t="s">
        <v>365</v>
      </c>
      <c r="F56" t="s">
        <v>366</v>
      </c>
      <c r="G56" t="s">
        <v>367</v>
      </c>
      <c r="H56">
        <f t="shared" si="0"/>
        <v>0.15462485113140134</v>
      </c>
      <c r="I56">
        <f t="shared" si="1"/>
        <v>1.1751488685986522E-3</v>
      </c>
      <c r="J56" t="str">
        <f t="shared" si="2"/>
        <v>&lt; $10</v>
      </c>
    </row>
    <row r="57" spans="1:10" x14ac:dyDescent="0.35">
      <c r="A57" t="s">
        <v>368</v>
      </c>
      <c r="B57" t="s">
        <v>369</v>
      </c>
      <c r="C57">
        <v>1.17</v>
      </c>
      <c r="D57" t="s">
        <v>31</v>
      </c>
      <c r="E57" t="s">
        <v>371</v>
      </c>
      <c r="F57" t="s">
        <v>372</v>
      </c>
      <c r="G57" t="s">
        <v>373</v>
      </c>
      <c r="H57">
        <f t="shared" si="0"/>
        <v>1.17</v>
      </c>
      <c r="I57">
        <f t="shared" si="1"/>
        <v>0</v>
      </c>
      <c r="J57" t="str">
        <f t="shared" si="2"/>
        <v>&lt; $10</v>
      </c>
    </row>
    <row r="58" spans="1:10" x14ac:dyDescent="0.35">
      <c r="A58" t="s">
        <v>374</v>
      </c>
      <c r="B58" t="s">
        <v>375</v>
      </c>
      <c r="C58">
        <v>8.652E-4</v>
      </c>
      <c r="D58" t="s">
        <v>377</v>
      </c>
      <c r="E58" t="s">
        <v>378</v>
      </c>
      <c r="F58" t="s">
        <v>379</v>
      </c>
      <c r="G58" t="s">
        <v>380</v>
      </c>
      <c r="H58">
        <f t="shared" si="0"/>
        <v>8.5663366336633667E-4</v>
      </c>
      <c r="I58">
        <f t="shared" si="1"/>
        <v>8.5663366336633266E-6</v>
      </c>
      <c r="J58" t="str">
        <f t="shared" si="2"/>
        <v>&lt; $10</v>
      </c>
    </row>
    <row r="59" spans="1:10" x14ac:dyDescent="0.35">
      <c r="A59" t="s">
        <v>381</v>
      </c>
      <c r="B59" t="s">
        <v>382</v>
      </c>
      <c r="C59">
        <v>6.2742000000000006E-2</v>
      </c>
      <c r="D59" t="s">
        <v>49</v>
      </c>
      <c r="E59" t="s">
        <v>384</v>
      </c>
      <c r="F59" t="s">
        <v>385</v>
      </c>
      <c r="G59" t="s">
        <v>386</v>
      </c>
      <c r="H59">
        <f t="shared" si="0"/>
        <v>6.2735726427357266E-2</v>
      </c>
      <c r="I59">
        <f t="shared" si="1"/>
        <v>6.2735726427398664E-6</v>
      </c>
      <c r="J59" t="str">
        <f t="shared" si="2"/>
        <v>&lt; $10</v>
      </c>
    </row>
    <row r="60" spans="1:10" x14ac:dyDescent="0.35">
      <c r="A60" t="s">
        <v>387</v>
      </c>
      <c r="B60" t="s">
        <v>388</v>
      </c>
      <c r="C60">
        <v>9.3899999999999997E-2</v>
      </c>
      <c r="D60" t="s">
        <v>390</v>
      </c>
      <c r="E60" t="s">
        <v>391</v>
      </c>
      <c r="F60" t="s">
        <v>392</v>
      </c>
      <c r="G60" t="s">
        <v>393</v>
      </c>
      <c r="H60">
        <f t="shared" si="0"/>
        <v>9.2804902154575999E-2</v>
      </c>
      <c r="I60">
        <f t="shared" si="1"/>
        <v>1.0950978454239979E-3</v>
      </c>
      <c r="J60" t="str">
        <f t="shared" si="2"/>
        <v>&lt; $10</v>
      </c>
    </row>
    <row r="61" spans="1:10" x14ac:dyDescent="0.35">
      <c r="A61" t="s">
        <v>394</v>
      </c>
      <c r="B61" t="s">
        <v>395</v>
      </c>
      <c r="C61">
        <v>7.8309999999999994E-3</v>
      </c>
      <c r="D61" t="s">
        <v>397</v>
      </c>
      <c r="E61" t="s">
        <v>398</v>
      </c>
      <c r="F61" t="s">
        <v>399</v>
      </c>
      <c r="G61" t="s">
        <v>400</v>
      </c>
      <c r="H61">
        <f t="shared" si="0"/>
        <v>7.8286514045786265E-3</v>
      </c>
      <c r="I61">
        <f t="shared" si="1"/>
        <v>2.3485954213729038E-6</v>
      </c>
      <c r="J61" t="str">
        <f t="shared" si="2"/>
        <v>&lt; $10</v>
      </c>
    </row>
    <row r="62" spans="1:10" x14ac:dyDescent="0.35">
      <c r="A62" t="s">
        <v>401</v>
      </c>
      <c r="B62" t="s">
        <v>402</v>
      </c>
      <c r="C62">
        <v>2.7640000000000001E-2</v>
      </c>
      <c r="D62" t="s">
        <v>404</v>
      </c>
      <c r="E62" t="s">
        <v>405</v>
      </c>
      <c r="F62" t="s">
        <v>406</v>
      </c>
      <c r="G62" t="s">
        <v>407</v>
      </c>
      <c r="H62">
        <f t="shared" si="0"/>
        <v>2.7472418248683034E-2</v>
      </c>
      <c r="I62">
        <f t="shared" si="1"/>
        <v>1.6758175131696695E-4</v>
      </c>
      <c r="J62" t="str">
        <f t="shared" si="2"/>
        <v>&lt; $10</v>
      </c>
    </row>
    <row r="63" spans="1:10" x14ac:dyDescent="0.35">
      <c r="A63" t="s">
        <v>408</v>
      </c>
      <c r="B63" t="s">
        <v>409</v>
      </c>
      <c r="C63">
        <v>0.16919999999999999</v>
      </c>
      <c r="D63" t="s">
        <v>411</v>
      </c>
      <c r="E63" t="s">
        <v>412</v>
      </c>
      <c r="F63" t="s">
        <v>413</v>
      </c>
      <c r="G63" t="s">
        <v>414</v>
      </c>
      <c r="H63">
        <f t="shared" si="0"/>
        <v>0.1676077265973254</v>
      </c>
      <c r="I63">
        <f t="shared" si="1"/>
        <v>1.5922734026745933E-3</v>
      </c>
      <c r="J63" t="str">
        <f t="shared" si="2"/>
        <v>&lt; $10</v>
      </c>
    </row>
    <row r="64" spans="1:10" x14ac:dyDescent="0.35">
      <c r="A64" t="s">
        <v>415</v>
      </c>
      <c r="B64" t="s">
        <v>416</v>
      </c>
      <c r="C64">
        <v>3.558E-3</v>
      </c>
      <c r="D64" t="s">
        <v>129</v>
      </c>
      <c r="E64" t="s">
        <v>418</v>
      </c>
      <c r="F64" t="s">
        <v>419</v>
      </c>
      <c r="G64" t="s">
        <v>420</v>
      </c>
      <c r="H64">
        <f t="shared" si="0"/>
        <v>3.5350223546944861E-3</v>
      </c>
      <c r="I64">
        <f t="shared" si="1"/>
        <v>2.2977645305513866E-5</v>
      </c>
      <c r="J64" t="str">
        <f t="shared" si="2"/>
        <v>&lt; $10</v>
      </c>
    </row>
    <row r="65" spans="1:10" x14ac:dyDescent="0.35">
      <c r="A65" t="s">
        <v>421</v>
      </c>
      <c r="B65" t="s">
        <v>422</v>
      </c>
      <c r="C65">
        <v>0.25769999999999998</v>
      </c>
      <c r="D65" t="s">
        <v>424</v>
      </c>
      <c r="E65" t="s">
        <v>425</v>
      </c>
      <c r="F65" t="s">
        <v>426</v>
      </c>
      <c r="G65" t="s">
        <v>427</v>
      </c>
      <c r="H65">
        <f t="shared" si="0"/>
        <v>0.23410247093023254</v>
      </c>
      <c r="I65">
        <f t="shared" si="1"/>
        <v>2.3597529069767448E-2</v>
      </c>
      <c r="J65" t="str">
        <f t="shared" si="2"/>
        <v>&lt; $10</v>
      </c>
    </row>
    <row r="66" spans="1:10" x14ac:dyDescent="0.35">
      <c r="A66" t="s">
        <v>428</v>
      </c>
      <c r="B66" t="s">
        <v>429</v>
      </c>
      <c r="C66">
        <v>0.4234</v>
      </c>
      <c r="D66" t="s">
        <v>49</v>
      </c>
      <c r="E66" t="s">
        <v>431</v>
      </c>
      <c r="F66" t="s">
        <v>432</v>
      </c>
      <c r="G66" t="s">
        <v>433</v>
      </c>
      <c r="H66">
        <f t="shared" ref="H66:H129" si="3">C66/(1+D66)</f>
        <v>0.42335766423357662</v>
      </c>
      <c r="I66">
        <f t="shared" ref="I66:I129" si="4">C66 - H66</f>
        <v>4.2335766423373666E-5</v>
      </c>
      <c r="J66" t="str">
        <f t="shared" ref="J66:J129" si="5">IF(C66&gt;=10,"&gt;= $10","&lt; $10")</f>
        <v>&lt; $10</v>
      </c>
    </row>
    <row r="67" spans="1:10" x14ac:dyDescent="0.35">
      <c r="A67" t="s">
        <v>434</v>
      </c>
      <c r="B67" t="s">
        <v>434</v>
      </c>
      <c r="C67">
        <v>2.7730000000000001E-2</v>
      </c>
      <c r="D67" t="s">
        <v>436</v>
      </c>
      <c r="E67" t="s">
        <v>437</v>
      </c>
      <c r="F67" t="s">
        <v>438</v>
      </c>
      <c r="G67" t="s">
        <v>439</v>
      </c>
      <c r="H67">
        <f t="shared" si="3"/>
        <v>2.7466323296354993E-2</v>
      </c>
      <c r="I67">
        <f t="shared" si="4"/>
        <v>2.6367670364500773E-4</v>
      </c>
      <c r="J67" t="str">
        <f t="shared" si="5"/>
        <v>&lt; $10</v>
      </c>
    </row>
    <row r="68" spans="1:10" x14ac:dyDescent="0.35">
      <c r="A68" t="s">
        <v>440</v>
      </c>
      <c r="B68" t="s">
        <v>441</v>
      </c>
      <c r="C68">
        <v>19.14</v>
      </c>
      <c r="D68" t="s">
        <v>443</v>
      </c>
      <c r="E68" t="s">
        <v>444</v>
      </c>
      <c r="F68" t="s">
        <v>445</v>
      </c>
      <c r="G68" t="s">
        <v>446</v>
      </c>
      <c r="H68">
        <f t="shared" si="3"/>
        <v>18.991863464973211</v>
      </c>
      <c r="I68">
        <f t="shared" si="4"/>
        <v>0.14813653502679003</v>
      </c>
      <c r="J68" t="str">
        <f t="shared" si="5"/>
        <v>&gt;= $10</v>
      </c>
    </row>
    <row r="69" spans="1:10" x14ac:dyDescent="0.35">
      <c r="A69" t="s">
        <v>447</v>
      </c>
      <c r="B69" t="s">
        <v>448</v>
      </c>
      <c r="C69" s="2">
        <v>4356.1000000000004</v>
      </c>
      <c r="D69" t="s">
        <v>49</v>
      </c>
      <c r="E69" t="s">
        <v>450</v>
      </c>
      <c r="F69" t="s">
        <v>451</v>
      </c>
      <c r="G69" t="s">
        <v>452</v>
      </c>
      <c r="H69">
        <f t="shared" si="3"/>
        <v>4355.6644335566443</v>
      </c>
      <c r="I69">
        <f t="shared" si="4"/>
        <v>0.43556644335603778</v>
      </c>
      <c r="J69" t="str">
        <f t="shared" si="5"/>
        <v>&gt;= $10</v>
      </c>
    </row>
    <row r="70" spans="1:10" x14ac:dyDescent="0.35">
      <c r="A70" t="s">
        <v>453</v>
      </c>
      <c r="B70" t="s">
        <v>454</v>
      </c>
      <c r="C70">
        <v>6.7060000000000002E-3</v>
      </c>
      <c r="D70" t="s">
        <v>456</v>
      </c>
      <c r="E70" t="s">
        <v>457</v>
      </c>
      <c r="F70" t="s">
        <v>458</v>
      </c>
      <c r="G70" t="s">
        <v>459</v>
      </c>
      <c r="H70">
        <f t="shared" si="3"/>
        <v>6.3570006635700069E-3</v>
      </c>
      <c r="I70">
        <f t="shared" si="4"/>
        <v>3.4899933642999325E-4</v>
      </c>
      <c r="J70" t="str">
        <f t="shared" si="5"/>
        <v>&lt; $10</v>
      </c>
    </row>
    <row r="71" spans="1:10" x14ac:dyDescent="0.35">
      <c r="A71" t="s">
        <v>460</v>
      </c>
      <c r="B71" t="s">
        <v>461</v>
      </c>
      <c r="C71">
        <v>5.638E-2</v>
      </c>
      <c r="D71" t="s">
        <v>463</v>
      </c>
      <c r="E71" t="s">
        <v>464</v>
      </c>
      <c r="F71" t="s">
        <v>465</v>
      </c>
      <c r="G71" t="s">
        <v>466</v>
      </c>
      <c r="H71">
        <f t="shared" si="3"/>
        <v>5.5694952089301593E-2</v>
      </c>
      <c r="I71">
        <f t="shared" si="4"/>
        <v>6.850479106984067E-4</v>
      </c>
      <c r="J71" t="str">
        <f t="shared" si="5"/>
        <v>&lt; $10</v>
      </c>
    </row>
    <row r="72" spans="1:10" x14ac:dyDescent="0.35">
      <c r="A72" t="s">
        <v>467</v>
      </c>
      <c r="B72" t="s">
        <v>467</v>
      </c>
      <c r="C72">
        <v>3.6980000000000002E-5</v>
      </c>
      <c r="D72" t="s">
        <v>397</v>
      </c>
      <c r="E72" t="s">
        <v>469</v>
      </c>
      <c r="F72" t="s">
        <v>470</v>
      </c>
      <c r="G72" t="s">
        <v>471</v>
      </c>
      <c r="H72">
        <f t="shared" si="3"/>
        <v>3.6968909327201844E-5</v>
      </c>
      <c r="I72">
        <f t="shared" si="4"/>
        <v>1.1090672798158118E-8</v>
      </c>
      <c r="J72" t="str">
        <f t="shared" si="5"/>
        <v>&lt; $10</v>
      </c>
    </row>
    <row r="73" spans="1:10" x14ac:dyDescent="0.35">
      <c r="A73" t="s">
        <v>472</v>
      </c>
      <c r="B73" t="s">
        <v>472</v>
      </c>
      <c r="C73">
        <v>7.7499999999999999E-3</v>
      </c>
      <c r="D73" t="s">
        <v>474</v>
      </c>
      <c r="E73" t="s">
        <v>475</v>
      </c>
      <c r="F73" t="s">
        <v>476</v>
      </c>
      <c r="G73" t="s">
        <v>477</v>
      </c>
      <c r="H73">
        <f t="shared" si="3"/>
        <v>7.7414843671960833E-3</v>
      </c>
      <c r="I73">
        <f t="shared" si="4"/>
        <v>8.5156328039166437E-6</v>
      </c>
      <c r="J73" t="str">
        <f t="shared" si="5"/>
        <v>&lt; $10</v>
      </c>
    </row>
    <row r="74" spans="1:10" x14ac:dyDescent="0.35">
      <c r="A74" t="s">
        <v>478</v>
      </c>
      <c r="B74" t="s">
        <v>479</v>
      </c>
      <c r="C74">
        <v>1.6549999999999999E-2</v>
      </c>
      <c r="D74" t="s">
        <v>481</v>
      </c>
      <c r="E74" t="s">
        <v>482</v>
      </c>
      <c r="F74" t="s">
        <v>483</v>
      </c>
      <c r="G74" t="s">
        <v>484</v>
      </c>
      <c r="H74">
        <f t="shared" si="3"/>
        <v>1.6262159772034979E-2</v>
      </c>
      <c r="I74">
        <f t="shared" si="4"/>
        <v>2.878402279650194E-4</v>
      </c>
      <c r="J74" t="str">
        <f t="shared" si="5"/>
        <v>&lt; $10</v>
      </c>
    </row>
    <row r="75" spans="1:10" x14ac:dyDescent="0.35">
      <c r="A75" t="s">
        <v>485</v>
      </c>
      <c r="B75" t="s">
        <v>486</v>
      </c>
      <c r="C75">
        <v>7.1040000000000006E-2</v>
      </c>
      <c r="D75" t="s">
        <v>443</v>
      </c>
      <c r="E75" t="s">
        <v>488</v>
      </c>
      <c r="F75" t="s">
        <v>489</v>
      </c>
      <c r="G75" t="s">
        <v>490</v>
      </c>
      <c r="H75">
        <f t="shared" si="3"/>
        <v>7.0490176622345704E-2</v>
      </c>
      <c r="I75">
        <f t="shared" si="4"/>
        <v>5.4982337765430156E-4</v>
      </c>
      <c r="J75" t="str">
        <f t="shared" si="5"/>
        <v>&lt; $10</v>
      </c>
    </row>
    <row r="76" spans="1:10" x14ac:dyDescent="0.35">
      <c r="A76" t="s">
        <v>491</v>
      </c>
      <c r="B76" t="s">
        <v>492</v>
      </c>
      <c r="C76">
        <v>3.1210000000000002E-2</v>
      </c>
      <c r="D76" t="s">
        <v>494</v>
      </c>
      <c r="E76" t="s">
        <v>495</v>
      </c>
      <c r="F76" t="s">
        <v>496</v>
      </c>
      <c r="G76" t="s">
        <v>497</v>
      </c>
      <c r="H76">
        <f t="shared" si="3"/>
        <v>3.0818603732596032E-2</v>
      </c>
      <c r="I76">
        <f t="shared" si="4"/>
        <v>3.9139626740396921E-4</v>
      </c>
      <c r="J76" t="str">
        <f t="shared" si="5"/>
        <v>&lt; $10</v>
      </c>
    </row>
    <row r="77" spans="1:10" x14ac:dyDescent="0.35">
      <c r="A77" t="s">
        <v>498</v>
      </c>
      <c r="B77" t="s">
        <v>499</v>
      </c>
      <c r="C77">
        <v>0.17610000000000001</v>
      </c>
      <c r="D77" t="s">
        <v>501</v>
      </c>
      <c r="E77" t="s">
        <v>502</v>
      </c>
      <c r="F77" t="s">
        <v>503</v>
      </c>
      <c r="G77" t="s">
        <v>504</v>
      </c>
      <c r="H77">
        <f t="shared" si="3"/>
        <v>0.17411508799683606</v>
      </c>
      <c r="I77">
        <f t="shared" si="4"/>
        <v>1.9849120031639467E-3</v>
      </c>
      <c r="J77" t="str">
        <f t="shared" si="5"/>
        <v>&lt; $10</v>
      </c>
    </row>
    <row r="78" spans="1:10" x14ac:dyDescent="0.35">
      <c r="A78" t="s">
        <v>505</v>
      </c>
      <c r="B78" t="s">
        <v>506</v>
      </c>
      <c r="C78">
        <v>5.1450000000000003E-2</v>
      </c>
      <c r="D78" t="s">
        <v>10</v>
      </c>
      <c r="E78" t="s">
        <v>508</v>
      </c>
      <c r="F78" t="s">
        <v>509</v>
      </c>
      <c r="G78" t="s">
        <v>510</v>
      </c>
      <c r="H78">
        <f t="shared" si="3"/>
        <v>5.1419148510893471E-2</v>
      </c>
      <c r="I78">
        <f t="shared" si="4"/>
        <v>3.085148910653146E-5</v>
      </c>
      <c r="J78" t="str">
        <f t="shared" si="5"/>
        <v>&lt; $10</v>
      </c>
    </row>
    <row r="79" spans="1:10" x14ac:dyDescent="0.35">
      <c r="A79" t="s">
        <v>511</v>
      </c>
      <c r="B79" t="s">
        <v>512</v>
      </c>
      <c r="C79">
        <v>1.959E-2</v>
      </c>
      <c r="D79" t="s">
        <v>514</v>
      </c>
      <c r="E79" t="s">
        <v>515</v>
      </c>
      <c r="F79" t="s">
        <v>516</v>
      </c>
      <c r="G79" t="s">
        <v>517</v>
      </c>
      <c r="H79">
        <f t="shared" si="3"/>
        <v>1.9511952191235058E-2</v>
      </c>
      <c r="I79">
        <f t="shared" si="4"/>
        <v>7.8047808764941662E-5</v>
      </c>
      <c r="J79" t="str">
        <f t="shared" si="5"/>
        <v>&lt; $10</v>
      </c>
    </row>
    <row r="80" spans="1:10" x14ac:dyDescent="0.35">
      <c r="A80" t="s">
        <v>518</v>
      </c>
      <c r="B80" t="s">
        <v>519</v>
      </c>
      <c r="C80">
        <v>1.304E-2</v>
      </c>
      <c r="D80" t="s">
        <v>329</v>
      </c>
      <c r="E80" t="s">
        <v>521</v>
      </c>
      <c r="F80" t="s">
        <v>522</v>
      </c>
      <c r="G80" t="s">
        <v>523</v>
      </c>
      <c r="H80">
        <f t="shared" si="3"/>
        <v>1.3026973026973029E-2</v>
      </c>
      <c r="I80">
        <f t="shared" si="4"/>
        <v>1.3026973026970812E-5</v>
      </c>
      <c r="J80" t="str">
        <f t="shared" si="5"/>
        <v>&lt; $10</v>
      </c>
    </row>
    <row r="81" spans="1:10" x14ac:dyDescent="0.35">
      <c r="A81" t="s">
        <v>524</v>
      </c>
      <c r="B81" t="s">
        <v>525</v>
      </c>
      <c r="C81">
        <v>3.9379999999999998E-2</v>
      </c>
      <c r="D81" t="s">
        <v>527</v>
      </c>
      <c r="E81" t="s">
        <v>528</v>
      </c>
      <c r="F81" t="s">
        <v>529</v>
      </c>
      <c r="G81" t="s">
        <v>530</v>
      </c>
      <c r="H81">
        <f t="shared" si="3"/>
        <v>3.8311119758731388E-2</v>
      </c>
      <c r="I81">
        <f t="shared" si="4"/>
        <v>1.0688802412686105E-3</v>
      </c>
      <c r="J81" t="str">
        <f t="shared" si="5"/>
        <v>&lt; $10</v>
      </c>
    </row>
    <row r="82" spans="1:10" x14ac:dyDescent="0.35">
      <c r="A82" t="s">
        <v>531</v>
      </c>
      <c r="B82" t="s">
        <v>532</v>
      </c>
      <c r="C82">
        <v>3.7319999999999999E-2</v>
      </c>
      <c r="D82" t="s">
        <v>534</v>
      </c>
      <c r="E82" t="s">
        <v>535</v>
      </c>
      <c r="F82" t="s">
        <v>536</v>
      </c>
      <c r="G82" t="s">
        <v>537</v>
      </c>
      <c r="H82">
        <f t="shared" si="3"/>
        <v>3.7175017432015137E-2</v>
      </c>
      <c r="I82">
        <f t="shared" si="4"/>
        <v>1.4498256798486236E-4</v>
      </c>
      <c r="J82" t="str">
        <f t="shared" si="5"/>
        <v>&lt; $10</v>
      </c>
    </row>
    <row r="83" spans="1:10" x14ac:dyDescent="0.35">
      <c r="A83" t="s">
        <v>538</v>
      </c>
      <c r="B83" t="s">
        <v>539</v>
      </c>
      <c r="C83">
        <v>0.40689999999999998</v>
      </c>
      <c r="D83" t="s">
        <v>295</v>
      </c>
      <c r="E83" t="s">
        <v>541</v>
      </c>
      <c r="F83" t="s">
        <v>542</v>
      </c>
      <c r="G83" t="s">
        <v>543</v>
      </c>
      <c r="H83">
        <f t="shared" si="3"/>
        <v>0.40523852205955579</v>
      </c>
      <c r="I83">
        <f t="shared" si="4"/>
        <v>1.6614779404441893E-3</v>
      </c>
      <c r="J83" t="str">
        <f t="shared" si="5"/>
        <v>&lt; $10</v>
      </c>
    </row>
    <row r="84" spans="1:10" x14ac:dyDescent="0.35">
      <c r="A84" t="s">
        <v>544</v>
      </c>
      <c r="B84" t="s">
        <v>545</v>
      </c>
      <c r="C84">
        <v>6.6610000000000003E-3</v>
      </c>
      <c r="D84" t="s">
        <v>547</v>
      </c>
      <c r="E84" t="s">
        <v>548</v>
      </c>
      <c r="F84" t="s">
        <v>549</v>
      </c>
      <c r="G84" t="s">
        <v>550</v>
      </c>
      <c r="H84">
        <f t="shared" si="3"/>
        <v>6.5898298377522766E-3</v>
      </c>
      <c r="I84">
        <f t="shared" si="4"/>
        <v>7.1170162247723677E-5</v>
      </c>
      <c r="J84" t="str">
        <f t="shared" si="5"/>
        <v>&lt; $10</v>
      </c>
    </row>
    <row r="85" spans="1:10" x14ac:dyDescent="0.35">
      <c r="A85" t="s">
        <v>551</v>
      </c>
      <c r="B85" t="s">
        <v>552</v>
      </c>
      <c r="C85">
        <v>0.17199999999999999</v>
      </c>
      <c r="D85" t="s">
        <v>554</v>
      </c>
      <c r="E85" t="s">
        <v>555</v>
      </c>
      <c r="F85" t="s">
        <v>556</v>
      </c>
      <c r="G85" t="s">
        <v>557</v>
      </c>
      <c r="H85">
        <f t="shared" si="3"/>
        <v>0.16975917883932093</v>
      </c>
      <c r="I85">
        <f t="shared" si="4"/>
        <v>2.2408211606790573E-3</v>
      </c>
      <c r="J85" t="str">
        <f t="shared" si="5"/>
        <v>&lt; $10</v>
      </c>
    </row>
    <row r="86" spans="1:10" x14ac:dyDescent="0.35">
      <c r="A86" t="s">
        <v>558</v>
      </c>
      <c r="B86" t="s">
        <v>559</v>
      </c>
      <c r="C86">
        <v>2.88</v>
      </c>
      <c r="D86" t="s">
        <v>561</v>
      </c>
      <c r="E86" t="s">
        <v>562</v>
      </c>
      <c r="F86" t="s">
        <v>563</v>
      </c>
      <c r="G86" t="s">
        <v>564</v>
      </c>
      <c r="H86">
        <f t="shared" si="3"/>
        <v>2.8673835125448028</v>
      </c>
      <c r="I86">
        <f t="shared" si="4"/>
        <v>1.2616487455197056E-2</v>
      </c>
      <c r="J86" t="str">
        <f t="shared" si="5"/>
        <v>&lt; $10</v>
      </c>
    </row>
    <row r="87" spans="1:10" x14ac:dyDescent="0.35">
      <c r="A87" t="s">
        <v>565</v>
      </c>
      <c r="B87" t="s">
        <v>566</v>
      </c>
      <c r="C87">
        <v>5.44</v>
      </c>
      <c r="D87" t="s">
        <v>568</v>
      </c>
      <c r="E87" t="s">
        <v>569</v>
      </c>
      <c r="F87" t="s">
        <v>570</v>
      </c>
      <c r="G87" t="s">
        <v>571</v>
      </c>
      <c r="H87">
        <f t="shared" si="3"/>
        <v>5.3962900505902196</v>
      </c>
      <c r="I87">
        <f t="shared" si="4"/>
        <v>4.3709949409780791E-2</v>
      </c>
      <c r="J87" t="str">
        <f t="shared" si="5"/>
        <v>&lt; $10</v>
      </c>
    </row>
    <row r="88" spans="1:10" x14ac:dyDescent="0.35">
      <c r="A88" t="s">
        <v>572</v>
      </c>
      <c r="B88" t="s">
        <v>573</v>
      </c>
      <c r="C88">
        <v>7.0569999999999994E-2</v>
      </c>
      <c r="D88" t="s">
        <v>575</v>
      </c>
      <c r="E88" t="s">
        <v>576</v>
      </c>
      <c r="F88" t="s">
        <v>577</v>
      </c>
      <c r="G88" t="s">
        <v>578</v>
      </c>
      <c r="H88">
        <f t="shared" si="3"/>
        <v>7.0429141716566862E-2</v>
      </c>
      <c r="I88">
        <f t="shared" si="4"/>
        <v>1.4085828343313178E-4</v>
      </c>
      <c r="J88" t="str">
        <f t="shared" si="5"/>
        <v>&lt; $10</v>
      </c>
    </row>
    <row r="89" spans="1:10" x14ac:dyDescent="0.35">
      <c r="A89" t="s">
        <v>579</v>
      </c>
      <c r="B89" t="s">
        <v>580</v>
      </c>
      <c r="C89">
        <v>1.409E-2</v>
      </c>
      <c r="D89" t="s">
        <v>329</v>
      </c>
      <c r="E89" t="s">
        <v>582</v>
      </c>
      <c r="F89" t="s">
        <v>583</v>
      </c>
      <c r="G89" t="s">
        <v>584</v>
      </c>
      <c r="H89">
        <f t="shared" si="3"/>
        <v>1.4075924075924078E-2</v>
      </c>
      <c r="I89">
        <f t="shared" si="4"/>
        <v>1.407592407592223E-5</v>
      </c>
      <c r="J89" t="str">
        <f t="shared" si="5"/>
        <v>&lt; $10</v>
      </c>
    </row>
    <row r="90" spans="1:10" x14ac:dyDescent="0.35">
      <c r="A90" t="s">
        <v>585</v>
      </c>
      <c r="B90" t="s">
        <v>586</v>
      </c>
      <c r="C90">
        <v>0.38679999999999998</v>
      </c>
      <c r="D90" t="s">
        <v>588</v>
      </c>
      <c r="E90" t="s">
        <v>589</v>
      </c>
      <c r="F90" t="s">
        <v>590</v>
      </c>
      <c r="G90" t="s">
        <v>591</v>
      </c>
      <c r="H90">
        <f t="shared" si="3"/>
        <v>0.38460773590533953</v>
      </c>
      <c r="I90">
        <f t="shared" si="4"/>
        <v>2.1922640946604455E-3</v>
      </c>
      <c r="J90" t="str">
        <f t="shared" si="5"/>
        <v>&lt; $10</v>
      </c>
    </row>
    <row r="91" spans="1:10" x14ac:dyDescent="0.35">
      <c r="A91" t="s">
        <v>592</v>
      </c>
      <c r="B91" t="s">
        <v>592</v>
      </c>
      <c r="C91">
        <v>3.671E-2</v>
      </c>
      <c r="D91" t="s">
        <v>594</v>
      </c>
      <c r="E91" t="s">
        <v>595</v>
      </c>
      <c r="F91" t="s">
        <v>596</v>
      </c>
      <c r="G91" t="s">
        <v>597</v>
      </c>
      <c r="H91">
        <f t="shared" si="3"/>
        <v>3.5575152631068897E-2</v>
      </c>
      <c r="I91">
        <f t="shared" si="4"/>
        <v>1.1348473689311023E-3</v>
      </c>
      <c r="J91" t="str">
        <f t="shared" si="5"/>
        <v>&lt; $10</v>
      </c>
    </row>
    <row r="92" spans="1:10" x14ac:dyDescent="0.35">
      <c r="A92" t="s">
        <v>598</v>
      </c>
      <c r="B92" t="s">
        <v>599</v>
      </c>
      <c r="C92">
        <v>2.5159999999999998E-2</v>
      </c>
      <c r="D92" t="s">
        <v>601</v>
      </c>
      <c r="E92" t="s">
        <v>602</v>
      </c>
      <c r="F92" t="s">
        <v>603</v>
      </c>
      <c r="G92" t="s">
        <v>604</v>
      </c>
      <c r="H92">
        <f t="shared" si="3"/>
        <v>2.2492401215805469E-2</v>
      </c>
      <c r="I92">
        <f t="shared" si="4"/>
        <v>2.6675987841945289E-3</v>
      </c>
      <c r="J92" t="str">
        <f t="shared" si="5"/>
        <v>&lt; $10</v>
      </c>
    </row>
    <row r="93" spans="1:10" x14ac:dyDescent="0.35">
      <c r="A93" t="s">
        <v>605</v>
      </c>
      <c r="B93" t="s">
        <v>606</v>
      </c>
      <c r="C93">
        <v>8.2129999999999995E-2</v>
      </c>
      <c r="D93" t="s">
        <v>608</v>
      </c>
      <c r="E93" t="s">
        <v>609</v>
      </c>
      <c r="F93" t="s">
        <v>610</v>
      </c>
      <c r="G93" t="s">
        <v>611</v>
      </c>
      <c r="H93">
        <f t="shared" si="3"/>
        <v>7.9490902051877671E-2</v>
      </c>
      <c r="I93">
        <f t="shared" si="4"/>
        <v>2.6390979481223237E-3</v>
      </c>
      <c r="J93" t="str">
        <f t="shared" si="5"/>
        <v>&lt; $10</v>
      </c>
    </row>
    <row r="94" spans="1:10" x14ac:dyDescent="0.35">
      <c r="A94" t="s">
        <v>612</v>
      </c>
      <c r="B94" t="s">
        <v>613</v>
      </c>
      <c r="C94">
        <v>7.6810000000000003E-2</v>
      </c>
      <c r="D94" t="s">
        <v>615</v>
      </c>
      <c r="E94" t="s">
        <v>616</v>
      </c>
      <c r="F94" t="s">
        <v>617</v>
      </c>
      <c r="G94" t="s">
        <v>618</v>
      </c>
      <c r="H94">
        <f t="shared" si="3"/>
        <v>7.6771614192903556E-2</v>
      </c>
      <c r="I94">
        <f t="shared" si="4"/>
        <v>3.8385807096447122E-5</v>
      </c>
      <c r="J94" t="str">
        <f t="shared" si="5"/>
        <v>&lt; $10</v>
      </c>
    </row>
    <row r="95" spans="1:10" x14ac:dyDescent="0.35">
      <c r="A95" t="s">
        <v>619</v>
      </c>
      <c r="B95" t="s">
        <v>620</v>
      </c>
      <c r="C95">
        <v>0.72240000000000004</v>
      </c>
      <c r="D95" t="s">
        <v>622</v>
      </c>
      <c r="E95" t="s">
        <v>623</v>
      </c>
      <c r="F95" t="s">
        <v>624</v>
      </c>
      <c r="G95" t="s">
        <v>625</v>
      </c>
      <c r="H95">
        <f t="shared" si="3"/>
        <v>0.72124600638977632</v>
      </c>
      <c r="I95">
        <f t="shared" si="4"/>
        <v>1.1539936102237247E-3</v>
      </c>
      <c r="J95" t="str">
        <f t="shared" si="5"/>
        <v>&lt; $10</v>
      </c>
    </row>
    <row r="96" spans="1:10" x14ac:dyDescent="0.35">
      <c r="A96" t="s">
        <v>626</v>
      </c>
      <c r="B96" t="s">
        <v>627</v>
      </c>
      <c r="C96">
        <v>1.2</v>
      </c>
      <c r="D96" t="s">
        <v>629</v>
      </c>
      <c r="E96" t="s">
        <v>630</v>
      </c>
      <c r="F96" t="s">
        <v>631</v>
      </c>
      <c r="G96" t="s">
        <v>632</v>
      </c>
      <c r="H96">
        <f t="shared" si="3"/>
        <v>1.1948620930000995</v>
      </c>
      <c r="I96">
        <f t="shared" si="4"/>
        <v>5.1379069999004656E-3</v>
      </c>
      <c r="J96" t="str">
        <f t="shared" si="5"/>
        <v>&lt; $10</v>
      </c>
    </row>
    <row r="97" spans="1:10" x14ac:dyDescent="0.35">
      <c r="A97" t="s">
        <v>633</v>
      </c>
      <c r="B97" t="s">
        <v>634</v>
      </c>
      <c r="C97">
        <v>3.1649999999999998E-2</v>
      </c>
      <c r="D97" t="s">
        <v>31</v>
      </c>
      <c r="E97" t="s">
        <v>636</v>
      </c>
      <c r="F97" t="s">
        <v>637</v>
      </c>
      <c r="G97" t="s">
        <v>638</v>
      </c>
      <c r="H97">
        <f t="shared" si="3"/>
        <v>3.1649999999999998E-2</v>
      </c>
      <c r="I97">
        <f t="shared" si="4"/>
        <v>0</v>
      </c>
      <c r="J97" t="str">
        <f t="shared" si="5"/>
        <v>&lt; $10</v>
      </c>
    </row>
    <row r="98" spans="1:10" x14ac:dyDescent="0.35">
      <c r="A98" t="s">
        <v>639</v>
      </c>
      <c r="B98" t="s">
        <v>640</v>
      </c>
      <c r="C98">
        <v>2.7550000000000002E-2</v>
      </c>
      <c r="D98" t="s">
        <v>31</v>
      </c>
      <c r="E98" t="s">
        <v>642</v>
      </c>
      <c r="F98" t="s">
        <v>643</v>
      </c>
      <c r="G98" t="s">
        <v>644</v>
      </c>
      <c r="H98">
        <f t="shared" si="3"/>
        <v>2.7550000000000002E-2</v>
      </c>
      <c r="I98">
        <f t="shared" si="4"/>
        <v>0</v>
      </c>
      <c r="J98" t="str">
        <f t="shared" si="5"/>
        <v>&lt; $10</v>
      </c>
    </row>
    <row r="99" spans="1:10" x14ac:dyDescent="0.35">
      <c r="A99" t="s">
        <v>645</v>
      </c>
      <c r="B99" t="s">
        <v>646</v>
      </c>
      <c r="C99">
        <v>0.99970000000000003</v>
      </c>
      <c r="D99" t="s">
        <v>31</v>
      </c>
      <c r="E99" t="s">
        <v>647</v>
      </c>
      <c r="F99" t="s">
        <v>648</v>
      </c>
      <c r="G99" t="s">
        <v>649</v>
      </c>
      <c r="H99">
        <f t="shared" si="3"/>
        <v>0.99970000000000003</v>
      </c>
      <c r="I99">
        <f t="shared" si="4"/>
        <v>0</v>
      </c>
      <c r="J99" t="str">
        <f t="shared" si="5"/>
        <v>&lt; $10</v>
      </c>
    </row>
    <row r="100" spans="1:10" x14ac:dyDescent="0.35">
      <c r="A100" t="s">
        <v>650</v>
      </c>
      <c r="B100" t="s">
        <v>650</v>
      </c>
      <c r="C100">
        <v>2.7699999999999999E-2</v>
      </c>
      <c r="D100" t="s">
        <v>329</v>
      </c>
      <c r="E100" t="s">
        <v>652</v>
      </c>
      <c r="F100" t="s">
        <v>653</v>
      </c>
      <c r="G100" t="s">
        <v>654</v>
      </c>
      <c r="H100">
        <f t="shared" si="3"/>
        <v>2.7672327672327673E-2</v>
      </c>
      <c r="I100">
        <f t="shared" si="4"/>
        <v>2.7672327672326191E-5</v>
      </c>
      <c r="J100" t="str">
        <f t="shared" si="5"/>
        <v>&lt; $10</v>
      </c>
    </row>
    <row r="101" spans="1:10" x14ac:dyDescent="0.35">
      <c r="A101" t="s">
        <v>655</v>
      </c>
      <c r="B101" t="s">
        <v>656</v>
      </c>
      <c r="C101">
        <v>0.1278</v>
      </c>
      <c r="D101" t="s">
        <v>658</v>
      </c>
      <c r="E101" t="s">
        <v>659</v>
      </c>
      <c r="F101" t="s">
        <v>660</v>
      </c>
      <c r="G101" t="s">
        <v>661</v>
      </c>
      <c r="H101">
        <f t="shared" si="3"/>
        <v>0.12603550295857988</v>
      </c>
      <c r="I101">
        <f t="shared" si="4"/>
        <v>1.7644970414201211E-3</v>
      </c>
      <c r="J101" t="str">
        <f t="shared" si="5"/>
        <v>&lt; $10</v>
      </c>
    </row>
    <row r="102" spans="1:10" x14ac:dyDescent="0.35">
      <c r="A102" t="s">
        <v>662</v>
      </c>
      <c r="B102" t="s">
        <v>663</v>
      </c>
      <c r="C102">
        <v>8.7080000000000002E-4</v>
      </c>
      <c r="D102" t="s">
        <v>665</v>
      </c>
      <c r="E102" t="s">
        <v>666</v>
      </c>
      <c r="F102" t="s">
        <v>667</v>
      </c>
      <c r="G102" t="s">
        <v>668</v>
      </c>
      <c r="H102">
        <f t="shared" si="3"/>
        <v>8.6328938237335189E-4</v>
      </c>
      <c r="I102">
        <f t="shared" si="4"/>
        <v>7.510617626648136E-6</v>
      </c>
      <c r="J102" t="str">
        <f t="shared" si="5"/>
        <v>&lt; $10</v>
      </c>
    </row>
    <row r="103" spans="1:10" x14ac:dyDescent="0.35">
      <c r="A103" t="s">
        <v>669</v>
      </c>
      <c r="B103" t="s">
        <v>670</v>
      </c>
      <c r="C103">
        <v>65.61</v>
      </c>
      <c r="D103" t="s">
        <v>672</v>
      </c>
      <c r="E103" t="s">
        <v>673</v>
      </c>
      <c r="F103" t="s">
        <v>674</v>
      </c>
      <c r="G103" t="s">
        <v>675</v>
      </c>
      <c r="H103">
        <f t="shared" si="3"/>
        <v>65.27059291683247</v>
      </c>
      <c r="I103">
        <f t="shared" si="4"/>
        <v>0.33940708316752932</v>
      </c>
      <c r="J103" t="str">
        <f t="shared" si="5"/>
        <v>&gt;= $10</v>
      </c>
    </row>
    <row r="104" spans="1:10" x14ac:dyDescent="0.35">
      <c r="A104" t="s">
        <v>676</v>
      </c>
      <c r="B104" t="s">
        <v>677</v>
      </c>
      <c r="C104">
        <v>2.726E-2</v>
      </c>
      <c r="D104" t="s">
        <v>679</v>
      </c>
      <c r="E104" t="s">
        <v>680</v>
      </c>
      <c r="F104" t="s">
        <v>681</v>
      </c>
      <c r="G104" t="s">
        <v>682</v>
      </c>
      <c r="H104">
        <f t="shared" si="3"/>
        <v>2.6688858429606419E-2</v>
      </c>
      <c r="I104">
        <f t="shared" si="4"/>
        <v>5.7114157039358029E-4</v>
      </c>
      <c r="J104" t="str">
        <f t="shared" si="5"/>
        <v>&lt; $10</v>
      </c>
    </row>
    <row r="105" spans="1:10" x14ac:dyDescent="0.35">
      <c r="A105" t="s">
        <v>683</v>
      </c>
      <c r="B105" t="s">
        <v>684</v>
      </c>
      <c r="C105">
        <v>2.5469999999999998E-3</v>
      </c>
      <c r="D105" t="s">
        <v>686</v>
      </c>
      <c r="E105" t="s">
        <v>687</v>
      </c>
      <c r="F105" t="s">
        <v>688</v>
      </c>
      <c r="G105" t="s">
        <v>689</v>
      </c>
      <c r="H105">
        <f t="shared" si="3"/>
        <v>2.5459816073570571E-3</v>
      </c>
      <c r="I105">
        <f t="shared" si="4"/>
        <v>1.0183926429426643E-6</v>
      </c>
      <c r="J105" t="str">
        <f t="shared" si="5"/>
        <v>&lt; $10</v>
      </c>
    </row>
    <row r="106" spans="1:10" x14ac:dyDescent="0.35">
      <c r="A106" t="s">
        <v>690</v>
      </c>
      <c r="B106" t="s">
        <v>691</v>
      </c>
      <c r="C106">
        <v>295.72000000000003</v>
      </c>
      <c r="D106" t="s">
        <v>31</v>
      </c>
      <c r="E106" t="s">
        <v>693</v>
      </c>
      <c r="F106" t="s">
        <v>694</v>
      </c>
      <c r="G106" t="s">
        <v>695</v>
      </c>
      <c r="H106">
        <f t="shared" si="3"/>
        <v>295.72000000000003</v>
      </c>
      <c r="I106">
        <f t="shared" si="4"/>
        <v>0</v>
      </c>
      <c r="J106" t="str">
        <f t="shared" si="5"/>
        <v>&gt;= $10</v>
      </c>
    </row>
    <row r="107" spans="1:10" x14ac:dyDescent="0.35">
      <c r="A107" t="s">
        <v>696</v>
      </c>
      <c r="B107" t="s">
        <v>697</v>
      </c>
      <c r="C107">
        <v>0.47370000000000001</v>
      </c>
      <c r="D107" t="s">
        <v>169</v>
      </c>
      <c r="E107" t="s">
        <v>699</v>
      </c>
      <c r="F107" t="s">
        <v>700</v>
      </c>
      <c r="G107" t="s">
        <v>701</v>
      </c>
      <c r="H107">
        <f t="shared" si="3"/>
        <v>0.47242445397426952</v>
      </c>
      <c r="I107">
        <f t="shared" si="4"/>
        <v>1.2755460257304896E-3</v>
      </c>
      <c r="J107" t="str">
        <f t="shared" si="5"/>
        <v>&lt; $10</v>
      </c>
    </row>
    <row r="108" spans="1:10" x14ac:dyDescent="0.35">
      <c r="A108" t="s">
        <v>702</v>
      </c>
      <c r="B108" t="s">
        <v>703</v>
      </c>
      <c r="C108">
        <v>1.47</v>
      </c>
      <c r="D108" t="s">
        <v>705</v>
      </c>
      <c r="E108" t="s">
        <v>706</v>
      </c>
      <c r="F108" t="s">
        <v>707</v>
      </c>
      <c r="G108" t="s">
        <v>708</v>
      </c>
      <c r="H108">
        <f t="shared" si="3"/>
        <v>1.459346768589298</v>
      </c>
      <c r="I108">
        <f t="shared" si="4"/>
        <v>1.0653231410701958E-2</v>
      </c>
      <c r="J108" t="str">
        <f t="shared" si="5"/>
        <v>&lt; $10</v>
      </c>
    </row>
    <row r="109" spans="1:10" x14ac:dyDescent="0.35">
      <c r="A109" t="s">
        <v>709</v>
      </c>
      <c r="B109" t="s">
        <v>710</v>
      </c>
      <c r="C109">
        <v>3.5119999999999998E-2</v>
      </c>
      <c r="D109" t="s">
        <v>76</v>
      </c>
      <c r="E109" t="s">
        <v>712</v>
      </c>
      <c r="F109" t="s">
        <v>713</v>
      </c>
      <c r="G109" t="s">
        <v>714</v>
      </c>
      <c r="H109">
        <f t="shared" si="3"/>
        <v>3.4820543327384497E-2</v>
      </c>
      <c r="I109">
        <f t="shared" si="4"/>
        <v>2.9945667261550152E-4</v>
      </c>
      <c r="J109" t="str">
        <f t="shared" si="5"/>
        <v>&lt; $10</v>
      </c>
    </row>
    <row r="110" spans="1:10" x14ac:dyDescent="0.35">
      <c r="A110" t="s">
        <v>715</v>
      </c>
      <c r="B110" t="s">
        <v>716</v>
      </c>
      <c r="C110">
        <v>8.2250000000000004E-2</v>
      </c>
      <c r="D110" t="s">
        <v>37</v>
      </c>
      <c r="E110" t="s">
        <v>718</v>
      </c>
      <c r="F110" t="s">
        <v>719</v>
      </c>
      <c r="G110" t="s">
        <v>720</v>
      </c>
      <c r="H110">
        <f t="shared" si="3"/>
        <v>8.2110412299091551E-2</v>
      </c>
      <c r="I110">
        <f t="shared" si="4"/>
        <v>1.3958770090845285E-4</v>
      </c>
      <c r="J110" t="str">
        <f t="shared" si="5"/>
        <v>&lt; $10</v>
      </c>
    </row>
    <row r="111" spans="1:10" x14ac:dyDescent="0.35">
      <c r="A111" t="s">
        <v>721</v>
      </c>
      <c r="B111" t="s">
        <v>722</v>
      </c>
      <c r="C111">
        <v>0.15909999999999999</v>
      </c>
      <c r="D111" t="s">
        <v>474</v>
      </c>
      <c r="E111" t="s">
        <v>724</v>
      </c>
      <c r="F111" t="s">
        <v>725</v>
      </c>
      <c r="G111" t="s">
        <v>726</v>
      </c>
      <c r="H111">
        <f t="shared" si="3"/>
        <v>0.15892518229947056</v>
      </c>
      <c r="I111">
        <f t="shared" si="4"/>
        <v>1.7481770052943379E-4</v>
      </c>
      <c r="J111" t="str">
        <f t="shared" si="5"/>
        <v>&lt; $10</v>
      </c>
    </row>
    <row r="112" spans="1:10" x14ac:dyDescent="0.35">
      <c r="A112" t="s">
        <v>727</v>
      </c>
      <c r="B112" t="s">
        <v>728</v>
      </c>
      <c r="C112">
        <v>2.639E-2</v>
      </c>
      <c r="D112" t="s">
        <v>336</v>
      </c>
      <c r="E112" t="s">
        <v>730</v>
      </c>
      <c r="F112" t="s">
        <v>731</v>
      </c>
      <c r="G112" t="s">
        <v>732</v>
      </c>
      <c r="H112">
        <f t="shared" si="3"/>
        <v>2.6269161855464865E-2</v>
      </c>
      <c r="I112">
        <f t="shared" si="4"/>
        <v>1.2083814453513544E-4</v>
      </c>
      <c r="J112" t="str">
        <f t="shared" si="5"/>
        <v>&lt; $10</v>
      </c>
    </row>
    <row r="113" spans="1:10" x14ac:dyDescent="0.35">
      <c r="A113" t="s">
        <v>733</v>
      </c>
      <c r="B113" t="s">
        <v>734</v>
      </c>
      <c r="C113">
        <v>619.67999999999995</v>
      </c>
      <c r="D113" t="s">
        <v>686</v>
      </c>
      <c r="E113" t="s">
        <v>736</v>
      </c>
      <c r="F113" t="s">
        <v>737</v>
      </c>
      <c r="G113" t="s">
        <v>738</v>
      </c>
      <c r="H113">
        <f t="shared" si="3"/>
        <v>619.43222710915632</v>
      </c>
      <c r="I113">
        <f t="shared" si="4"/>
        <v>0.24777289084363474</v>
      </c>
      <c r="J113" t="str">
        <f t="shared" si="5"/>
        <v>&gt;= $10</v>
      </c>
    </row>
    <row r="114" spans="1:10" x14ac:dyDescent="0.35">
      <c r="A114" t="s">
        <v>739</v>
      </c>
      <c r="B114" t="s">
        <v>740</v>
      </c>
      <c r="C114">
        <v>6.2740000000000004E-2</v>
      </c>
      <c r="D114" t="s">
        <v>257</v>
      </c>
      <c r="E114" t="s">
        <v>742</v>
      </c>
      <c r="F114" t="s">
        <v>743</v>
      </c>
      <c r="G114" t="s">
        <v>744</v>
      </c>
      <c r="H114">
        <f t="shared" si="3"/>
        <v>6.2727454509098182E-2</v>
      </c>
      <c r="I114">
        <f t="shared" si="4"/>
        <v>1.2545490901821887E-5</v>
      </c>
      <c r="J114" t="str">
        <f t="shared" si="5"/>
        <v>&lt; $10</v>
      </c>
    </row>
    <row r="115" spans="1:10" x14ac:dyDescent="0.35">
      <c r="A115" t="s">
        <v>745</v>
      </c>
      <c r="B115" t="s">
        <v>746</v>
      </c>
      <c r="C115">
        <v>8.4580000000000002E-2</v>
      </c>
      <c r="D115" t="s">
        <v>397</v>
      </c>
      <c r="E115" t="s">
        <v>748</v>
      </c>
      <c r="F115" t="s">
        <v>749</v>
      </c>
      <c r="G115" t="s">
        <v>750</v>
      </c>
      <c r="H115">
        <f t="shared" si="3"/>
        <v>8.4554633609917024E-2</v>
      </c>
      <c r="I115">
        <f t="shared" si="4"/>
        <v>2.5366390082978696E-5</v>
      </c>
      <c r="J115" t="str">
        <f t="shared" si="5"/>
        <v>&lt; $10</v>
      </c>
    </row>
    <row r="116" spans="1:10" x14ac:dyDescent="0.35">
      <c r="A116" t="s">
        <v>751</v>
      </c>
      <c r="B116" t="s">
        <v>752</v>
      </c>
      <c r="C116">
        <v>0.32119999999999999</v>
      </c>
      <c r="D116" t="s">
        <v>615</v>
      </c>
      <c r="E116" t="s">
        <v>754</v>
      </c>
      <c r="F116" t="s">
        <v>755</v>
      </c>
      <c r="G116" t="s">
        <v>756</v>
      </c>
      <c r="H116">
        <f t="shared" si="3"/>
        <v>0.32103948025987006</v>
      </c>
      <c r="I116">
        <f t="shared" si="4"/>
        <v>1.6051974012992742E-4</v>
      </c>
      <c r="J116" t="str">
        <f t="shared" si="5"/>
        <v>&lt; $10</v>
      </c>
    </row>
    <row r="117" spans="1:10" x14ac:dyDescent="0.35">
      <c r="A117" t="s">
        <v>757</v>
      </c>
      <c r="B117" t="s">
        <v>758</v>
      </c>
      <c r="C117">
        <v>5.9740000000000001E-2</v>
      </c>
      <c r="D117" t="s">
        <v>760</v>
      </c>
      <c r="E117" t="s">
        <v>761</v>
      </c>
      <c r="F117" t="s">
        <v>762</v>
      </c>
      <c r="G117" t="s">
        <v>763</v>
      </c>
      <c r="H117">
        <f t="shared" si="3"/>
        <v>5.911924789708066E-2</v>
      </c>
      <c r="I117">
        <f t="shared" si="4"/>
        <v>6.2075210291934191E-4</v>
      </c>
      <c r="J117" t="str">
        <f t="shared" si="5"/>
        <v>&lt; $10</v>
      </c>
    </row>
    <row r="118" spans="1:10" x14ac:dyDescent="0.35">
      <c r="A118" t="s">
        <v>764</v>
      </c>
      <c r="B118" t="s">
        <v>765</v>
      </c>
      <c r="C118">
        <v>8.9990000000000001E-2</v>
      </c>
      <c r="D118" t="s">
        <v>10</v>
      </c>
      <c r="E118" t="s">
        <v>767</v>
      </c>
      <c r="F118" t="s">
        <v>768</v>
      </c>
      <c r="G118" t="s">
        <v>769</v>
      </c>
      <c r="H118">
        <f t="shared" si="3"/>
        <v>8.9936038376973823E-2</v>
      </c>
      <c r="I118">
        <f t="shared" si="4"/>
        <v>5.3961623026177463E-5</v>
      </c>
      <c r="J118" t="str">
        <f t="shared" si="5"/>
        <v>&lt; $10</v>
      </c>
    </row>
    <row r="119" spans="1:10" x14ac:dyDescent="0.35">
      <c r="A119" t="s">
        <v>770</v>
      </c>
      <c r="B119" t="s">
        <v>771</v>
      </c>
      <c r="C119">
        <v>2.3359999999999999E-2</v>
      </c>
      <c r="D119" t="s">
        <v>773</v>
      </c>
      <c r="E119" t="s">
        <v>774</v>
      </c>
      <c r="F119" t="s">
        <v>775</v>
      </c>
      <c r="G119" t="s">
        <v>776</v>
      </c>
      <c r="H119">
        <f t="shared" si="3"/>
        <v>2.3119556611243073E-2</v>
      </c>
      <c r="I119">
        <f t="shared" si="4"/>
        <v>2.4044338875692586E-4</v>
      </c>
      <c r="J119" t="str">
        <f t="shared" si="5"/>
        <v>&lt; $10</v>
      </c>
    </row>
    <row r="120" spans="1:10" x14ac:dyDescent="0.35">
      <c r="A120" t="s">
        <v>777</v>
      </c>
      <c r="B120" t="s">
        <v>778</v>
      </c>
      <c r="C120">
        <v>1.1209999999999999E-2</v>
      </c>
      <c r="D120" t="s">
        <v>780</v>
      </c>
      <c r="E120" t="s">
        <v>781</v>
      </c>
      <c r="F120" t="s">
        <v>782</v>
      </c>
      <c r="G120" t="s">
        <v>783</v>
      </c>
      <c r="H120">
        <f t="shared" si="3"/>
        <v>1.0781956333557757E-2</v>
      </c>
      <c r="I120">
        <f t="shared" si="4"/>
        <v>4.2804366644224288E-4</v>
      </c>
      <c r="J120" t="str">
        <f t="shared" si="5"/>
        <v>&lt; $10</v>
      </c>
    </row>
    <row r="121" spans="1:10" x14ac:dyDescent="0.35">
      <c r="A121" t="s">
        <v>784</v>
      </c>
      <c r="B121" t="s">
        <v>785</v>
      </c>
      <c r="C121">
        <v>0.12540000000000001</v>
      </c>
      <c r="D121" t="s">
        <v>787</v>
      </c>
      <c r="E121" t="s">
        <v>788</v>
      </c>
      <c r="F121" t="s">
        <v>789</v>
      </c>
      <c r="G121" t="s">
        <v>790</v>
      </c>
      <c r="H121">
        <f t="shared" si="3"/>
        <v>0.12507480550568523</v>
      </c>
      <c r="I121">
        <f t="shared" si="4"/>
        <v>3.2519449431478442E-4</v>
      </c>
      <c r="J121" t="str">
        <f t="shared" si="5"/>
        <v>&lt; $10</v>
      </c>
    </row>
    <row r="122" spans="1:10" x14ac:dyDescent="0.35">
      <c r="A122" t="s">
        <v>791</v>
      </c>
      <c r="B122" t="s">
        <v>792</v>
      </c>
      <c r="C122">
        <v>6.9569999999999996E-3</v>
      </c>
      <c r="D122" t="s">
        <v>474</v>
      </c>
      <c r="E122" t="s">
        <v>794</v>
      </c>
      <c r="F122" t="s">
        <v>795</v>
      </c>
      <c r="G122" t="s">
        <v>796</v>
      </c>
      <c r="H122">
        <f t="shared" si="3"/>
        <v>6.9493557087204061E-3</v>
      </c>
      <c r="I122">
        <f t="shared" si="4"/>
        <v>7.6442912795935541E-6</v>
      </c>
      <c r="J122" t="str">
        <f t="shared" si="5"/>
        <v>&lt; $10</v>
      </c>
    </row>
    <row r="123" spans="1:10" x14ac:dyDescent="0.35">
      <c r="A123" t="s">
        <v>797</v>
      </c>
      <c r="B123" t="s">
        <v>798</v>
      </c>
      <c r="C123">
        <v>86.24</v>
      </c>
      <c r="D123" t="s">
        <v>686</v>
      </c>
      <c r="E123" t="s">
        <v>800</v>
      </c>
      <c r="F123" t="s">
        <v>801</v>
      </c>
      <c r="G123" t="s">
        <v>802</v>
      </c>
      <c r="H123">
        <f t="shared" si="3"/>
        <v>86.205517792882844</v>
      </c>
      <c r="I123">
        <f t="shared" si="4"/>
        <v>3.4482207117150665E-2</v>
      </c>
      <c r="J123" t="str">
        <f t="shared" si="5"/>
        <v>&gt;= $10</v>
      </c>
    </row>
    <row r="124" spans="1:10" x14ac:dyDescent="0.35">
      <c r="A124" t="s">
        <v>803</v>
      </c>
      <c r="B124" t="s">
        <v>804</v>
      </c>
      <c r="C124">
        <v>1.4120000000000001E-3</v>
      </c>
      <c r="D124" t="s">
        <v>322</v>
      </c>
      <c r="E124" t="s">
        <v>806</v>
      </c>
      <c r="F124" t="s">
        <v>807</v>
      </c>
      <c r="G124" t="s">
        <v>808</v>
      </c>
      <c r="H124">
        <f t="shared" si="3"/>
        <v>1.4070752366716491E-3</v>
      </c>
      <c r="I124">
        <f t="shared" si="4"/>
        <v>4.9247633283509493E-6</v>
      </c>
      <c r="J124" t="str">
        <f t="shared" si="5"/>
        <v>&lt; $10</v>
      </c>
    </row>
    <row r="125" spans="1:10" x14ac:dyDescent="0.35">
      <c r="A125" t="s">
        <v>809</v>
      </c>
      <c r="B125" t="s">
        <v>810</v>
      </c>
      <c r="C125">
        <v>0.2422</v>
      </c>
      <c r="D125" t="s">
        <v>812</v>
      </c>
      <c r="E125" t="s">
        <v>813</v>
      </c>
      <c r="F125" t="s">
        <v>814</v>
      </c>
      <c r="G125" t="s">
        <v>815</v>
      </c>
      <c r="H125">
        <f t="shared" si="3"/>
        <v>0.24200639488409276</v>
      </c>
      <c r="I125">
        <f t="shared" si="4"/>
        <v>1.9360511590724161E-4</v>
      </c>
      <c r="J125" t="str">
        <f t="shared" si="5"/>
        <v>&lt; $10</v>
      </c>
    </row>
    <row r="126" spans="1:10" x14ac:dyDescent="0.35">
      <c r="A126" t="s">
        <v>816</v>
      </c>
      <c r="B126" t="s">
        <v>817</v>
      </c>
      <c r="C126">
        <v>2.9180000000000001E-2</v>
      </c>
      <c r="D126" t="s">
        <v>819</v>
      </c>
      <c r="E126" t="s">
        <v>820</v>
      </c>
      <c r="F126" t="s">
        <v>821</v>
      </c>
      <c r="G126" t="s">
        <v>822</v>
      </c>
      <c r="H126">
        <f t="shared" si="3"/>
        <v>2.8896811249752425E-2</v>
      </c>
      <c r="I126">
        <f t="shared" si="4"/>
        <v>2.8318875024757606E-4</v>
      </c>
      <c r="J126" t="str">
        <f t="shared" si="5"/>
        <v>&lt; $10</v>
      </c>
    </row>
    <row r="127" spans="1:10" x14ac:dyDescent="0.35">
      <c r="A127" t="s">
        <v>823</v>
      </c>
      <c r="B127" t="s">
        <v>824</v>
      </c>
      <c r="C127">
        <v>7.5259999999999997E-3</v>
      </c>
      <c r="D127" t="s">
        <v>760</v>
      </c>
      <c r="E127" t="s">
        <v>826</v>
      </c>
      <c r="F127" t="s">
        <v>827</v>
      </c>
      <c r="G127" t="s">
        <v>828</v>
      </c>
      <c r="H127">
        <f t="shared" si="3"/>
        <v>7.4477981197427013E-3</v>
      </c>
      <c r="I127">
        <f t="shared" si="4"/>
        <v>7.8201880257298441E-5</v>
      </c>
      <c r="J127" t="str">
        <f t="shared" si="5"/>
        <v>&lt; $10</v>
      </c>
    </row>
    <row r="128" spans="1:10" x14ac:dyDescent="0.35">
      <c r="A128" t="s">
        <v>829</v>
      </c>
      <c r="B128" t="s">
        <v>830</v>
      </c>
      <c r="C128">
        <v>0.1037</v>
      </c>
      <c r="D128" t="s">
        <v>832</v>
      </c>
      <c r="E128" t="s">
        <v>833</v>
      </c>
      <c r="F128" t="s">
        <v>834</v>
      </c>
      <c r="G128" t="s">
        <v>835</v>
      </c>
      <c r="H128">
        <f t="shared" si="3"/>
        <v>0.103153287575848</v>
      </c>
      <c r="I128">
        <f t="shared" si="4"/>
        <v>5.4671242415199606E-4</v>
      </c>
      <c r="J128" t="str">
        <f t="shared" si="5"/>
        <v>&lt; $10</v>
      </c>
    </row>
    <row r="129" spans="1:10" x14ac:dyDescent="0.35">
      <c r="A129" t="s">
        <v>836</v>
      </c>
      <c r="B129" t="s">
        <v>837</v>
      </c>
      <c r="C129">
        <v>3.8530000000000002E-2</v>
      </c>
      <c r="D129" t="s">
        <v>839</v>
      </c>
      <c r="E129" t="s">
        <v>840</v>
      </c>
      <c r="F129" t="s">
        <v>841</v>
      </c>
      <c r="G129" t="s">
        <v>842</v>
      </c>
      <c r="H129">
        <f t="shared" si="3"/>
        <v>3.8227998809405694E-2</v>
      </c>
      <c r="I129">
        <f t="shared" si="4"/>
        <v>3.0200119059430736E-4</v>
      </c>
      <c r="J129" t="str">
        <f t="shared" si="5"/>
        <v>&lt; $10</v>
      </c>
    </row>
    <row r="130" spans="1:10" x14ac:dyDescent="0.35">
      <c r="A130" t="s">
        <v>843</v>
      </c>
      <c r="B130" t="s">
        <v>844</v>
      </c>
      <c r="C130">
        <v>1.99</v>
      </c>
      <c r="D130" t="s">
        <v>846</v>
      </c>
      <c r="E130" t="s">
        <v>847</v>
      </c>
      <c r="F130" t="s">
        <v>848</v>
      </c>
      <c r="G130" t="s">
        <v>849</v>
      </c>
      <c r="H130">
        <f t="shared" ref="H130:H193" si="6">C130/(1+D130)</f>
        <v>1.8158591112327764</v>
      </c>
      <c r="I130">
        <f t="shared" ref="I130:I193" si="7">C130 - H130</f>
        <v>0.17414088876722356</v>
      </c>
      <c r="J130" t="str">
        <f t="shared" ref="J130:J193" si="8">IF(C130&gt;=10,"&gt;= $10","&lt; $10")</f>
        <v>&lt; $10</v>
      </c>
    </row>
    <row r="131" spans="1:10" x14ac:dyDescent="0.35">
      <c r="A131" t="s">
        <v>850</v>
      </c>
      <c r="B131" t="s">
        <v>851</v>
      </c>
      <c r="C131">
        <v>1.8329999999999999E-2</v>
      </c>
      <c r="D131" t="s">
        <v>43</v>
      </c>
      <c r="E131" t="s">
        <v>853</v>
      </c>
      <c r="F131" t="s">
        <v>854</v>
      </c>
      <c r="G131" t="s">
        <v>855</v>
      </c>
      <c r="H131">
        <f t="shared" si="6"/>
        <v>1.820438971099414E-2</v>
      </c>
      <c r="I131">
        <f t="shared" si="7"/>
        <v>1.2561028900585913E-4</v>
      </c>
      <c r="J131" t="str">
        <f t="shared" si="8"/>
        <v>&lt; $10</v>
      </c>
    </row>
    <row r="132" spans="1:10" x14ac:dyDescent="0.35">
      <c r="A132" t="s">
        <v>856</v>
      </c>
      <c r="B132" t="s">
        <v>857</v>
      </c>
      <c r="C132">
        <v>2.5229999999999999E-2</v>
      </c>
      <c r="D132" t="s">
        <v>839</v>
      </c>
      <c r="E132" t="s">
        <v>859</v>
      </c>
      <c r="F132" t="s">
        <v>860</v>
      </c>
      <c r="G132" t="s">
        <v>861</v>
      </c>
      <c r="H132">
        <f t="shared" si="6"/>
        <v>2.5032245262426825E-2</v>
      </c>
      <c r="I132">
        <f t="shared" si="7"/>
        <v>1.9775473757317405E-4</v>
      </c>
      <c r="J132" t="str">
        <f t="shared" si="8"/>
        <v>&lt; $10</v>
      </c>
    </row>
    <row r="133" spans="1:10" x14ac:dyDescent="0.35">
      <c r="A133" t="s">
        <v>862</v>
      </c>
      <c r="B133" t="s">
        <v>863</v>
      </c>
      <c r="C133">
        <v>0.2051</v>
      </c>
      <c r="D133" t="s">
        <v>561</v>
      </c>
      <c r="E133" t="s">
        <v>865</v>
      </c>
      <c r="F133" t="s">
        <v>866</v>
      </c>
      <c r="G133" t="s">
        <v>867</v>
      </c>
      <c r="H133">
        <f t="shared" si="6"/>
        <v>0.2042015133412983</v>
      </c>
      <c r="I133">
        <f t="shared" si="7"/>
        <v>8.9848665870170819E-4</v>
      </c>
      <c r="J133" t="str">
        <f t="shared" si="8"/>
        <v>&lt; $10</v>
      </c>
    </row>
    <row r="134" spans="1:10" x14ac:dyDescent="0.35">
      <c r="A134" t="s">
        <v>868</v>
      </c>
      <c r="B134" t="s">
        <v>869</v>
      </c>
      <c r="C134">
        <v>6.7450000000000001E-3</v>
      </c>
      <c r="D134" t="s">
        <v>561</v>
      </c>
      <c r="E134" t="s">
        <v>871</v>
      </c>
      <c r="F134" t="s">
        <v>872</v>
      </c>
      <c r="G134" t="s">
        <v>873</v>
      </c>
      <c r="H134">
        <f t="shared" si="6"/>
        <v>6.7154520111509363E-3</v>
      </c>
      <c r="I134">
        <f t="shared" si="7"/>
        <v>2.9547988849063823E-5</v>
      </c>
      <c r="J134" t="str">
        <f t="shared" si="8"/>
        <v>&lt; $10</v>
      </c>
    </row>
    <row r="135" spans="1:10" x14ac:dyDescent="0.35">
      <c r="A135" t="s">
        <v>874</v>
      </c>
      <c r="B135" t="s">
        <v>875</v>
      </c>
      <c r="C135">
        <v>0.14760000000000001</v>
      </c>
      <c r="D135" t="s">
        <v>136</v>
      </c>
      <c r="E135" t="s">
        <v>877</v>
      </c>
      <c r="F135" t="s">
        <v>878</v>
      </c>
      <c r="G135" t="s">
        <v>879</v>
      </c>
      <c r="H135">
        <f t="shared" si="6"/>
        <v>0.1474230922892529</v>
      </c>
      <c r="I135">
        <f t="shared" si="7"/>
        <v>1.7690771074710399E-4</v>
      </c>
      <c r="J135" t="str">
        <f t="shared" si="8"/>
        <v>&lt; $10</v>
      </c>
    </row>
    <row r="136" spans="1:10" x14ac:dyDescent="0.35">
      <c r="A136" t="s">
        <v>880</v>
      </c>
      <c r="B136" t="s">
        <v>880</v>
      </c>
      <c r="C136">
        <v>2.707E-5</v>
      </c>
      <c r="D136" t="s">
        <v>882</v>
      </c>
      <c r="E136" t="s">
        <v>883</v>
      </c>
      <c r="F136" t="s">
        <v>884</v>
      </c>
      <c r="G136" t="s">
        <v>885</v>
      </c>
      <c r="H136">
        <f t="shared" si="6"/>
        <v>2.7007881871695102E-5</v>
      </c>
      <c r="I136">
        <f t="shared" si="7"/>
        <v>6.2118128304898312E-8</v>
      </c>
      <c r="J136" t="str">
        <f t="shared" si="8"/>
        <v>&lt; $10</v>
      </c>
    </row>
    <row r="137" spans="1:10" x14ac:dyDescent="0.35">
      <c r="A137" t="s">
        <v>886</v>
      </c>
      <c r="B137" t="s">
        <v>887</v>
      </c>
      <c r="C137">
        <v>6.1891000000000002E-2</v>
      </c>
      <c r="D137" t="s">
        <v>24</v>
      </c>
      <c r="E137" t="s">
        <v>889</v>
      </c>
      <c r="F137" t="s">
        <v>890</v>
      </c>
      <c r="G137" t="s">
        <v>891</v>
      </c>
      <c r="H137">
        <f t="shared" si="6"/>
        <v>6.1761301267338593E-2</v>
      </c>
      <c r="I137">
        <f t="shared" si="7"/>
        <v>1.2969873266140824E-4</v>
      </c>
      <c r="J137" t="str">
        <f t="shared" si="8"/>
        <v>&lt; $10</v>
      </c>
    </row>
    <row r="138" spans="1:10" x14ac:dyDescent="0.35">
      <c r="A138" t="s">
        <v>892</v>
      </c>
      <c r="B138" t="s">
        <v>893</v>
      </c>
      <c r="C138">
        <v>0.13120000000000001</v>
      </c>
      <c r="D138" t="s">
        <v>895</v>
      </c>
      <c r="E138" t="s">
        <v>896</v>
      </c>
      <c r="F138" t="s">
        <v>897</v>
      </c>
      <c r="G138" t="s">
        <v>898</v>
      </c>
      <c r="H138">
        <f t="shared" si="6"/>
        <v>0.13032681037051755</v>
      </c>
      <c r="I138">
        <f t="shared" si="7"/>
        <v>8.7318962948246259E-4</v>
      </c>
      <c r="J138" t="str">
        <f t="shared" si="8"/>
        <v>&lt; $10</v>
      </c>
    </row>
    <row r="139" spans="1:10" x14ac:dyDescent="0.35">
      <c r="A139" t="s">
        <v>899</v>
      </c>
      <c r="B139" t="s">
        <v>900</v>
      </c>
      <c r="C139">
        <v>6.9610000000000005E-2</v>
      </c>
      <c r="D139" t="s">
        <v>615</v>
      </c>
      <c r="E139" t="s">
        <v>902</v>
      </c>
      <c r="F139" t="s">
        <v>903</v>
      </c>
      <c r="G139" t="s">
        <v>904</v>
      </c>
      <c r="H139">
        <f t="shared" si="6"/>
        <v>6.9575212393803113E-2</v>
      </c>
      <c r="I139">
        <f t="shared" si="7"/>
        <v>3.4787606196892695E-5</v>
      </c>
      <c r="J139" t="str">
        <f t="shared" si="8"/>
        <v>&lt; $10</v>
      </c>
    </row>
    <row r="140" spans="1:10" x14ac:dyDescent="0.35">
      <c r="A140" t="s">
        <v>905</v>
      </c>
      <c r="B140" t="s">
        <v>906</v>
      </c>
      <c r="C140">
        <v>2.1740000000000002E-3</v>
      </c>
      <c r="D140" t="s">
        <v>257</v>
      </c>
      <c r="E140" t="s">
        <v>908</v>
      </c>
      <c r="F140" t="s">
        <v>909</v>
      </c>
      <c r="G140" t="s">
        <v>910</v>
      </c>
      <c r="H140">
        <f t="shared" si="6"/>
        <v>2.1735652869426117E-3</v>
      </c>
      <c r="I140">
        <f t="shared" si="7"/>
        <v>4.3471305738842017E-7</v>
      </c>
      <c r="J140" t="str">
        <f t="shared" si="8"/>
        <v>&lt; $10</v>
      </c>
    </row>
    <row r="141" spans="1:10" x14ac:dyDescent="0.35">
      <c r="A141" t="s">
        <v>911</v>
      </c>
      <c r="B141" t="s">
        <v>911</v>
      </c>
      <c r="C141">
        <v>0.77400000000000002</v>
      </c>
      <c r="D141" t="s">
        <v>49</v>
      </c>
      <c r="E141" t="s">
        <v>913</v>
      </c>
      <c r="F141" t="s">
        <v>914</v>
      </c>
      <c r="G141" t="s">
        <v>915</v>
      </c>
      <c r="H141">
        <f t="shared" si="6"/>
        <v>0.77392260773922605</v>
      </c>
      <c r="I141">
        <f t="shared" si="7"/>
        <v>7.7392260773967436E-5</v>
      </c>
      <c r="J141" t="str">
        <f t="shared" si="8"/>
        <v>&lt; $10</v>
      </c>
    </row>
    <row r="142" spans="1:10" x14ac:dyDescent="0.35">
      <c r="A142" t="s">
        <v>916</v>
      </c>
      <c r="B142" t="s">
        <v>917</v>
      </c>
      <c r="C142">
        <v>0.29049999999999998</v>
      </c>
      <c r="D142" t="s">
        <v>257</v>
      </c>
      <c r="E142" t="s">
        <v>919</v>
      </c>
      <c r="F142" t="s">
        <v>920</v>
      </c>
      <c r="G142" t="s">
        <v>921</v>
      </c>
      <c r="H142">
        <f t="shared" si="6"/>
        <v>0.29044191161767646</v>
      </c>
      <c r="I142">
        <f t="shared" si="7"/>
        <v>5.8088382323517873E-5</v>
      </c>
      <c r="J142" t="str">
        <f t="shared" si="8"/>
        <v>&lt; $10</v>
      </c>
    </row>
    <row r="143" spans="1:10" x14ac:dyDescent="0.35">
      <c r="A143" t="s">
        <v>922</v>
      </c>
      <c r="B143" t="s">
        <v>923</v>
      </c>
      <c r="C143">
        <v>8.0130000000000007E-2</v>
      </c>
      <c r="D143" t="s">
        <v>925</v>
      </c>
      <c r="E143" t="s">
        <v>926</v>
      </c>
      <c r="F143" t="s">
        <v>927</v>
      </c>
      <c r="G143" t="s">
        <v>928</v>
      </c>
      <c r="H143">
        <f t="shared" si="6"/>
        <v>7.8744103773584914E-2</v>
      </c>
      <c r="I143">
        <f t="shared" si="7"/>
        <v>1.3858962264150926E-3</v>
      </c>
      <c r="J143" t="str">
        <f t="shared" si="8"/>
        <v>&lt; $10</v>
      </c>
    </row>
    <row r="144" spans="1:10" x14ac:dyDescent="0.35">
      <c r="A144" t="s">
        <v>929</v>
      </c>
      <c r="B144" t="s">
        <v>930</v>
      </c>
      <c r="C144">
        <v>1.15E-2</v>
      </c>
      <c r="D144" t="s">
        <v>932</v>
      </c>
      <c r="E144" t="s">
        <v>933</v>
      </c>
      <c r="F144" t="s">
        <v>934</v>
      </c>
      <c r="G144" t="s">
        <v>935</v>
      </c>
      <c r="H144">
        <f t="shared" si="6"/>
        <v>1.1491955631058259E-2</v>
      </c>
      <c r="I144">
        <f t="shared" si="7"/>
        <v>8.0443689417404596E-6</v>
      </c>
      <c r="J144" t="str">
        <f t="shared" si="8"/>
        <v>&lt; $10</v>
      </c>
    </row>
    <row r="145" spans="1:10" x14ac:dyDescent="0.35">
      <c r="A145" t="s">
        <v>936</v>
      </c>
      <c r="B145" t="s">
        <v>936</v>
      </c>
      <c r="C145">
        <v>6.1139999999999996E-3</v>
      </c>
      <c r="D145" t="s">
        <v>672</v>
      </c>
      <c r="E145" t="s">
        <v>938</v>
      </c>
      <c r="F145" t="s">
        <v>939</v>
      </c>
      <c r="G145" t="s">
        <v>940</v>
      </c>
      <c r="H145">
        <f t="shared" si="6"/>
        <v>6.0823716673298837E-3</v>
      </c>
      <c r="I145">
        <f t="shared" si="7"/>
        <v>3.1628332670115972E-5</v>
      </c>
      <c r="J145" t="str">
        <f t="shared" si="8"/>
        <v>&lt; $10</v>
      </c>
    </row>
    <row r="146" spans="1:10" x14ac:dyDescent="0.35">
      <c r="A146" t="s">
        <v>941</v>
      </c>
      <c r="B146" t="s">
        <v>942</v>
      </c>
      <c r="C146">
        <v>2.0479999999999999E-3</v>
      </c>
      <c r="D146" t="s">
        <v>443</v>
      </c>
      <c r="E146" t="s">
        <v>944</v>
      </c>
      <c r="F146" t="s">
        <v>945</v>
      </c>
      <c r="G146" t="s">
        <v>946</v>
      </c>
      <c r="H146">
        <f t="shared" si="6"/>
        <v>2.0321492359595158E-3</v>
      </c>
      <c r="I146">
        <f t="shared" si="7"/>
        <v>1.5850764040484071E-5</v>
      </c>
      <c r="J146" t="str">
        <f t="shared" si="8"/>
        <v>&lt; $10</v>
      </c>
    </row>
    <row r="147" spans="1:10" x14ac:dyDescent="0.35">
      <c r="A147" t="s">
        <v>947</v>
      </c>
      <c r="B147" t="s">
        <v>948</v>
      </c>
      <c r="C147">
        <v>307.41000000000003</v>
      </c>
      <c r="D147" t="s">
        <v>397</v>
      </c>
      <c r="E147" t="s">
        <v>950</v>
      </c>
      <c r="F147" t="s">
        <v>951</v>
      </c>
      <c r="G147" t="s">
        <v>952</v>
      </c>
      <c r="H147">
        <f t="shared" si="6"/>
        <v>307.31780465860243</v>
      </c>
      <c r="I147">
        <f t="shared" si="7"/>
        <v>9.219534139759844E-2</v>
      </c>
      <c r="J147" t="str">
        <f t="shared" si="8"/>
        <v>&gt;= $10</v>
      </c>
    </row>
    <row r="148" spans="1:10" x14ac:dyDescent="0.35">
      <c r="A148" t="s">
        <v>953</v>
      </c>
      <c r="B148" t="s">
        <v>954</v>
      </c>
      <c r="C148">
        <v>4.9639999999999997E-2</v>
      </c>
      <c r="D148" t="s">
        <v>956</v>
      </c>
      <c r="E148" t="s">
        <v>957</v>
      </c>
      <c r="F148" t="s">
        <v>958</v>
      </c>
      <c r="G148" t="s">
        <v>959</v>
      </c>
      <c r="H148">
        <f t="shared" si="6"/>
        <v>4.8767069456724627E-2</v>
      </c>
      <c r="I148">
        <f t="shared" si="7"/>
        <v>8.7293054327537006E-4</v>
      </c>
      <c r="J148" t="str">
        <f t="shared" si="8"/>
        <v>&lt; $10</v>
      </c>
    </row>
    <row r="149" spans="1:10" x14ac:dyDescent="0.35">
      <c r="A149" t="s">
        <v>960</v>
      </c>
      <c r="B149" t="s">
        <v>961</v>
      </c>
      <c r="C149">
        <v>9.8449999999999992E-4</v>
      </c>
      <c r="D149" t="s">
        <v>31</v>
      </c>
      <c r="E149" t="s">
        <v>963</v>
      </c>
      <c r="F149" t="s">
        <v>637</v>
      </c>
      <c r="G149" t="s">
        <v>964</v>
      </c>
      <c r="H149">
        <f t="shared" si="6"/>
        <v>9.8449999999999992E-4</v>
      </c>
      <c r="I149">
        <f t="shared" si="7"/>
        <v>0</v>
      </c>
      <c r="J149" t="str">
        <f t="shared" si="8"/>
        <v>&lt; $10</v>
      </c>
    </row>
    <row r="150" spans="1:10" x14ac:dyDescent="0.35">
      <c r="A150" t="s">
        <v>965</v>
      </c>
      <c r="B150" t="s">
        <v>966</v>
      </c>
      <c r="C150">
        <v>7.2978000000000001E-2</v>
      </c>
      <c r="D150" t="s">
        <v>31</v>
      </c>
      <c r="E150" t="s">
        <v>968</v>
      </c>
      <c r="F150" t="s">
        <v>637</v>
      </c>
      <c r="G150" t="s">
        <v>969</v>
      </c>
      <c r="H150">
        <f t="shared" si="6"/>
        <v>7.2978000000000001E-2</v>
      </c>
      <c r="I150">
        <f t="shared" si="7"/>
        <v>0</v>
      </c>
      <c r="J150" t="str">
        <f t="shared" si="8"/>
        <v>&lt; $10</v>
      </c>
    </row>
    <row r="151" spans="1:10" x14ac:dyDescent="0.35">
      <c r="A151" t="s">
        <v>970</v>
      </c>
      <c r="B151" t="s">
        <v>971</v>
      </c>
      <c r="C151">
        <v>0.41920000000000002</v>
      </c>
      <c r="D151" t="s">
        <v>615</v>
      </c>
      <c r="E151" t="s">
        <v>973</v>
      </c>
      <c r="F151" t="s">
        <v>974</v>
      </c>
      <c r="G151" t="s">
        <v>975</v>
      </c>
      <c r="H151">
        <f t="shared" si="6"/>
        <v>0.41899050474762622</v>
      </c>
      <c r="I151">
        <f t="shared" si="7"/>
        <v>2.0949525237379252E-4</v>
      </c>
      <c r="J151" t="str">
        <f t="shared" si="8"/>
        <v>&lt; $10</v>
      </c>
    </row>
    <row r="152" spans="1:10" x14ac:dyDescent="0.35">
      <c r="A152" t="s">
        <v>976</v>
      </c>
      <c r="B152" t="s">
        <v>977</v>
      </c>
      <c r="C152">
        <v>1.026E-2</v>
      </c>
      <c r="D152" t="s">
        <v>979</v>
      </c>
      <c r="E152" t="s">
        <v>980</v>
      </c>
      <c r="F152" t="s">
        <v>981</v>
      </c>
      <c r="G152" t="s">
        <v>982</v>
      </c>
      <c r="H152">
        <f t="shared" si="6"/>
        <v>9.6067415730337075E-3</v>
      </c>
      <c r="I152">
        <f t="shared" si="7"/>
        <v>6.5325842696629249E-4</v>
      </c>
      <c r="J152" t="str">
        <f t="shared" si="8"/>
        <v>&lt; $10</v>
      </c>
    </row>
    <row r="153" spans="1:10" x14ac:dyDescent="0.35">
      <c r="A153" t="s">
        <v>983</v>
      </c>
      <c r="B153" t="s">
        <v>984</v>
      </c>
      <c r="C153">
        <v>0.121</v>
      </c>
      <c r="D153" t="s">
        <v>329</v>
      </c>
      <c r="E153" t="s">
        <v>986</v>
      </c>
      <c r="F153" t="s">
        <v>987</v>
      </c>
      <c r="G153" t="s">
        <v>988</v>
      </c>
      <c r="H153">
        <f t="shared" si="6"/>
        <v>0.12087912087912089</v>
      </c>
      <c r="I153">
        <f t="shared" si="7"/>
        <v>1.2087912087910269E-4</v>
      </c>
      <c r="J153" t="str">
        <f t="shared" si="8"/>
        <v>&lt; $10</v>
      </c>
    </row>
    <row r="154" spans="1:10" x14ac:dyDescent="0.35">
      <c r="A154" t="s">
        <v>989</v>
      </c>
      <c r="B154" t="s">
        <v>990</v>
      </c>
      <c r="C154">
        <v>2.62</v>
      </c>
      <c r="D154" t="s">
        <v>992</v>
      </c>
      <c r="E154" t="s">
        <v>993</v>
      </c>
      <c r="F154" t="s">
        <v>994</v>
      </c>
      <c r="G154" t="s">
        <v>995</v>
      </c>
      <c r="H154">
        <f t="shared" si="6"/>
        <v>2.601787487586892</v>
      </c>
      <c r="I154">
        <f t="shared" si="7"/>
        <v>1.8212512413108062E-2</v>
      </c>
      <c r="J154" t="str">
        <f t="shared" si="8"/>
        <v>&lt; $10</v>
      </c>
    </row>
    <row r="155" spans="1:10" x14ac:dyDescent="0.35">
      <c r="A155" t="s">
        <v>996</v>
      </c>
      <c r="B155" t="s">
        <v>997</v>
      </c>
      <c r="C155">
        <v>2.7480000000000001E-2</v>
      </c>
      <c r="D155" t="s">
        <v>932</v>
      </c>
      <c r="E155" t="s">
        <v>999</v>
      </c>
      <c r="F155" t="s">
        <v>1000</v>
      </c>
      <c r="G155" t="s">
        <v>1001</v>
      </c>
      <c r="H155">
        <f t="shared" si="6"/>
        <v>2.7460777455780957E-2</v>
      </c>
      <c r="I155">
        <f t="shared" si="7"/>
        <v>1.9222544219044124E-5</v>
      </c>
      <c r="J155" t="str">
        <f t="shared" si="8"/>
        <v>&lt; $10</v>
      </c>
    </row>
    <row r="156" spans="1:10" x14ac:dyDescent="0.35">
      <c r="A156" t="s">
        <v>1002</v>
      </c>
      <c r="B156" t="s">
        <v>1003</v>
      </c>
      <c r="C156">
        <v>0.1197</v>
      </c>
      <c r="D156" t="s">
        <v>629</v>
      </c>
      <c r="E156" t="s">
        <v>1005</v>
      </c>
      <c r="F156" t="s">
        <v>1006</v>
      </c>
      <c r="G156" t="s">
        <v>1007</v>
      </c>
      <c r="H156">
        <f t="shared" si="6"/>
        <v>0.11918749377675994</v>
      </c>
      <c r="I156">
        <f t="shared" si="7"/>
        <v>5.1250622324006123E-4</v>
      </c>
      <c r="J156" t="str">
        <f t="shared" si="8"/>
        <v>&lt; $10</v>
      </c>
    </row>
    <row r="157" spans="1:10" x14ac:dyDescent="0.35">
      <c r="A157" t="s">
        <v>1008</v>
      </c>
      <c r="B157" t="s">
        <v>1009</v>
      </c>
      <c r="C157">
        <v>3.5900000000000001E-2</v>
      </c>
      <c r="D157" t="s">
        <v>474</v>
      </c>
      <c r="E157" t="s">
        <v>1011</v>
      </c>
      <c r="F157" t="s">
        <v>1012</v>
      </c>
      <c r="G157" t="s">
        <v>1013</v>
      </c>
      <c r="H157">
        <f t="shared" si="6"/>
        <v>3.5860553391269603E-2</v>
      </c>
      <c r="I157">
        <f t="shared" si="7"/>
        <v>3.9446608730397958E-5</v>
      </c>
      <c r="J157" t="str">
        <f t="shared" si="8"/>
        <v>&lt; $10</v>
      </c>
    </row>
    <row r="158" spans="1:10" x14ac:dyDescent="0.35">
      <c r="A158" t="s">
        <v>1014</v>
      </c>
      <c r="B158" t="s">
        <v>1014</v>
      </c>
      <c r="C158">
        <v>1.4120000000000001E-3</v>
      </c>
      <c r="D158" t="s">
        <v>37</v>
      </c>
      <c r="E158" t="s">
        <v>1015</v>
      </c>
      <c r="F158" t="s">
        <v>1016</v>
      </c>
      <c r="G158" t="s">
        <v>1017</v>
      </c>
      <c r="H158">
        <f t="shared" si="6"/>
        <v>1.4096036737546171E-3</v>
      </c>
      <c r="I158">
        <f t="shared" si="7"/>
        <v>2.3963262453829178E-6</v>
      </c>
      <c r="J158" t="str">
        <f t="shared" si="8"/>
        <v>&lt; $10</v>
      </c>
    </row>
    <row r="159" spans="1:10" x14ac:dyDescent="0.35">
      <c r="A159" t="s">
        <v>1018</v>
      </c>
      <c r="B159" t="s">
        <v>1019</v>
      </c>
      <c r="C159">
        <v>0.1268</v>
      </c>
      <c r="D159" t="s">
        <v>390</v>
      </c>
      <c r="E159" t="s">
        <v>1021</v>
      </c>
      <c r="F159" t="s">
        <v>1022</v>
      </c>
      <c r="G159" t="s">
        <v>1023</v>
      </c>
      <c r="H159">
        <f t="shared" si="6"/>
        <v>0.12532120972524213</v>
      </c>
      <c r="I159">
        <f t="shared" si="7"/>
        <v>1.478790274757863E-3</v>
      </c>
      <c r="J159" t="str">
        <f t="shared" si="8"/>
        <v>&lt; $10</v>
      </c>
    </row>
    <row r="160" spans="1:10" x14ac:dyDescent="0.35">
      <c r="A160" t="s">
        <v>1024</v>
      </c>
      <c r="B160" t="s">
        <v>1024</v>
      </c>
      <c r="C160">
        <v>1.014E-2</v>
      </c>
      <c r="D160" t="s">
        <v>1026</v>
      </c>
      <c r="E160" t="s">
        <v>1027</v>
      </c>
      <c r="F160" t="s">
        <v>1028</v>
      </c>
      <c r="G160" t="s">
        <v>1029</v>
      </c>
      <c r="H160">
        <f t="shared" si="6"/>
        <v>1.0089552238805971E-2</v>
      </c>
      <c r="I160">
        <f t="shared" si="7"/>
        <v>5.0447761194028287E-5</v>
      </c>
      <c r="J160" t="str">
        <f t="shared" si="8"/>
        <v>&lt; $10</v>
      </c>
    </row>
    <row r="161" spans="1:10" x14ac:dyDescent="0.35">
      <c r="A161" t="s">
        <v>1030</v>
      </c>
      <c r="B161" t="s">
        <v>1031</v>
      </c>
      <c r="C161">
        <v>2.2720000000000001E-2</v>
      </c>
      <c r="D161" t="s">
        <v>116</v>
      </c>
      <c r="E161" t="s">
        <v>1033</v>
      </c>
      <c r="F161" t="s">
        <v>1034</v>
      </c>
      <c r="G161" t="s">
        <v>1035</v>
      </c>
      <c r="H161">
        <f t="shared" si="6"/>
        <v>2.2688236468943478E-2</v>
      </c>
      <c r="I161">
        <f t="shared" si="7"/>
        <v>3.1763531056522298E-5</v>
      </c>
      <c r="J161" t="str">
        <f t="shared" si="8"/>
        <v>&lt; $10</v>
      </c>
    </row>
    <row r="162" spans="1:10" x14ac:dyDescent="0.35">
      <c r="A162" t="s">
        <v>1036</v>
      </c>
      <c r="B162" t="s">
        <v>1037</v>
      </c>
      <c r="C162">
        <v>1.1900000000000001E-2</v>
      </c>
      <c r="D162" t="s">
        <v>1039</v>
      </c>
      <c r="E162" t="s">
        <v>1040</v>
      </c>
      <c r="F162" t="s">
        <v>1041</v>
      </c>
      <c r="G162" t="s">
        <v>1042</v>
      </c>
      <c r="H162">
        <f t="shared" si="6"/>
        <v>1.1796193497224427E-2</v>
      </c>
      <c r="I162">
        <f t="shared" si="7"/>
        <v>1.0380650277557434E-4</v>
      </c>
      <c r="J162" t="str">
        <f t="shared" si="8"/>
        <v>&lt; $10</v>
      </c>
    </row>
    <row r="163" spans="1:10" x14ac:dyDescent="0.35">
      <c r="A163" t="s">
        <v>1043</v>
      </c>
      <c r="B163" t="s">
        <v>1044</v>
      </c>
      <c r="C163">
        <v>0.1114</v>
      </c>
      <c r="D163" t="s">
        <v>932</v>
      </c>
      <c r="E163" t="s">
        <v>1046</v>
      </c>
      <c r="F163" t="s">
        <v>1047</v>
      </c>
      <c r="G163" t="s">
        <v>1048</v>
      </c>
      <c r="H163">
        <f t="shared" si="6"/>
        <v>0.11132207454781654</v>
      </c>
      <c r="I163">
        <f t="shared" si="7"/>
        <v>7.7925452183463806E-5</v>
      </c>
      <c r="J163" t="str">
        <f t="shared" si="8"/>
        <v>&lt; $10</v>
      </c>
    </row>
    <row r="164" spans="1:10" x14ac:dyDescent="0.35">
      <c r="A164" t="s">
        <v>1049</v>
      </c>
      <c r="B164" t="s">
        <v>1050</v>
      </c>
      <c r="C164">
        <v>96.87</v>
      </c>
      <c r="D164" t="s">
        <v>31</v>
      </c>
      <c r="E164" t="s">
        <v>1052</v>
      </c>
      <c r="F164" t="s">
        <v>637</v>
      </c>
      <c r="G164" t="s">
        <v>1053</v>
      </c>
      <c r="H164">
        <f t="shared" si="6"/>
        <v>96.87</v>
      </c>
      <c r="I164">
        <f t="shared" si="7"/>
        <v>0</v>
      </c>
      <c r="J164" t="str">
        <f t="shared" si="8"/>
        <v>&gt;= $10</v>
      </c>
    </row>
    <row r="165" spans="1:10" x14ac:dyDescent="0.35">
      <c r="A165" t="s">
        <v>1054</v>
      </c>
      <c r="B165" t="s">
        <v>1055</v>
      </c>
      <c r="C165" s="2">
        <v>4354.6000000000004</v>
      </c>
      <c r="D165" t="s">
        <v>534</v>
      </c>
      <c r="E165" t="s">
        <v>1057</v>
      </c>
      <c r="F165" t="s">
        <v>1058</v>
      </c>
      <c r="G165" t="s">
        <v>1059</v>
      </c>
      <c r="H165">
        <f t="shared" si="6"/>
        <v>4337.68303615898</v>
      </c>
      <c r="I165">
        <f t="shared" si="7"/>
        <v>16.916963841020333</v>
      </c>
      <c r="J165" t="str">
        <f t="shared" si="8"/>
        <v>&gt;= $10</v>
      </c>
    </row>
    <row r="166" spans="1:10" x14ac:dyDescent="0.35">
      <c r="A166" t="s">
        <v>1060</v>
      </c>
      <c r="B166" t="s">
        <v>1061</v>
      </c>
      <c r="C166">
        <v>1.01E-3</v>
      </c>
      <c r="D166" t="s">
        <v>123</v>
      </c>
      <c r="E166" t="s">
        <v>1063</v>
      </c>
      <c r="F166" t="s">
        <v>1064</v>
      </c>
      <c r="G166" t="s">
        <v>1065</v>
      </c>
      <c r="H166">
        <f t="shared" si="6"/>
        <v>1.0081852665202635E-3</v>
      </c>
      <c r="I166">
        <f t="shared" si="7"/>
        <v>1.814733479736522E-6</v>
      </c>
      <c r="J166" t="str">
        <f t="shared" si="8"/>
        <v>&lt; $10</v>
      </c>
    </row>
    <row r="167" spans="1:10" x14ac:dyDescent="0.35">
      <c r="A167" t="s">
        <v>1066</v>
      </c>
      <c r="B167" t="s">
        <v>1067</v>
      </c>
      <c r="C167">
        <v>1.1349999999999999E-3</v>
      </c>
      <c r="D167" t="s">
        <v>24</v>
      </c>
      <c r="E167" t="s">
        <v>1069</v>
      </c>
      <c r="F167" t="s">
        <v>1070</v>
      </c>
      <c r="G167" t="s">
        <v>1071</v>
      </c>
      <c r="H167">
        <f t="shared" si="6"/>
        <v>1.1326214948607922E-3</v>
      </c>
      <c r="I167">
        <f t="shared" si="7"/>
        <v>2.3785051392077351E-6</v>
      </c>
      <c r="J167" t="str">
        <f t="shared" si="8"/>
        <v>&lt; $10</v>
      </c>
    </row>
    <row r="168" spans="1:10" x14ac:dyDescent="0.35">
      <c r="A168" t="s">
        <v>1072</v>
      </c>
      <c r="B168" t="s">
        <v>1073</v>
      </c>
      <c r="C168">
        <v>0.2031</v>
      </c>
      <c r="D168" t="s">
        <v>686</v>
      </c>
      <c r="E168" t="s">
        <v>1075</v>
      </c>
      <c r="F168" t="s">
        <v>1076</v>
      </c>
      <c r="G168" t="s">
        <v>1077</v>
      </c>
      <c r="H168">
        <f t="shared" si="6"/>
        <v>0.2030187924830068</v>
      </c>
      <c r="I168">
        <f t="shared" si="7"/>
        <v>8.1207516993198059E-5</v>
      </c>
      <c r="J168" t="str">
        <f t="shared" si="8"/>
        <v>&lt; $10</v>
      </c>
    </row>
    <row r="169" spans="1:10" x14ac:dyDescent="0.35">
      <c r="A169" t="s">
        <v>1078</v>
      </c>
      <c r="B169" t="s">
        <v>1079</v>
      </c>
      <c r="C169">
        <v>5.05</v>
      </c>
      <c r="D169" t="s">
        <v>31</v>
      </c>
      <c r="E169" t="s">
        <v>1081</v>
      </c>
      <c r="F169" t="s">
        <v>1082</v>
      </c>
      <c r="G169" t="s">
        <v>1083</v>
      </c>
      <c r="H169">
        <f t="shared" si="6"/>
        <v>5.05</v>
      </c>
      <c r="I169">
        <f t="shared" si="7"/>
        <v>0</v>
      </c>
      <c r="J169" t="str">
        <f t="shared" si="8"/>
        <v>&lt; $10</v>
      </c>
    </row>
    <row r="170" spans="1:10" x14ac:dyDescent="0.35">
      <c r="A170" t="s">
        <v>1084</v>
      </c>
      <c r="B170" t="s">
        <v>1085</v>
      </c>
      <c r="C170">
        <v>13.89</v>
      </c>
      <c r="D170" t="s">
        <v>49</v>
      </c>
      <c r="E170" t="s">
        <v>1087</v>
      </c>
      <c r="F170" t="s">
        <v>1088</v>
      </c>
      <c r="G170" t="s">
        <v>1089</v>
      </c>
      <c r="H170">
        <f t="shared" si="6"/>
        <v>13.888611138886112</v>
      </c>
      <c r="I170">
        <f t="shared" si="7"/>
        <v>1.3888611138881402E-3</v>
      </c>
      <c r="J170" t="str">
        <f t="shared" si="8"/>
        <v>&gt;= $10</v>
      </c>
    </row>
    <row r="171" spans="1:10" x14ac:dyDescent="0.35">
      <c r="A171" t="s">
        <v>1090</v>
      </c>
      <c r="B171" t="s">
        <v>1091</v>
      </c>
      <c r="C171">
        <v>2.4309999999999998E-2</v>
      </c>
      <c r="D171" t="s">
        <v>1093</v>
      </c>
      <c r="E171" t="s">
        <v>1094</v>
      </c>
      <c r="F171" t="s">
        <v>1095</v>
      </c>
      <c r="G171" t="s">
        <v>1096</v>
      </c>
      <c r="H171">
        <f t="shared" si="6"/>
        <v>2.4230040865145019E-2</v>
      </c>
      <c r="I171">
        <f t="shared" si="7"/>
        <v>7.9959134854978853E-5</v>
      </c>
      <c r="J171" t="str">
        <f t="shared" si="8"/>
        <v>&lt; $10</v>
      </c>
    </row>
    <row r="172" spans="1:10" x14ac:dyDescent="0.35">
      <c r="A172" t="s">
        <v>1097</v>
      </c>
      <c r="B172" t="s">
        <v>1098</v>
      </c>
      <c r="C172">
        <v>9.9540000000000003E-2</v>
      </c>
      <c r="D172" t="s">
        <v>329</v>
      </c>
      <c r="E172" t="s">
        <v>1100</v>
      </c>
      <c r="F172" t="s">
        <v>1101</v>
      </c>
      <c r="G172" t="s">
        <v>1102</v>
      </c>
      <c r="H172">
        <f t="shared" si="6"/>
        <v>9.9440559440559462E-2</v>
      </c>
      <c r="I172">
        <f t="shared" si="7"/>
        <v>9.9440559440541754E-5</v>
      </c>
      <c r="J172" t="str">
        <f t="shared" si="8"/>
        <v>&lt; $10</v>
      </c>
    </row>
    <row r="173" spans="1:10" x14ac:dyDescent="0.35">
      <c r="A173" t="s">
        <v>1103</v>
      </c>
      <c r="B173" t="s">
        <v>1104</v>
      </c>
      <c r="C173">
        <v>11.3</v>
      </c>
      <c r="D173" t="s">
        <v>1106</v>
      </c>
      <c r="E173" t="s">
        <v>1107</v>
      </c>
      <c r="F173" t="s">
        <v>1108</v>
      </c>
      <c r="G173" t="s">
        <v>1109</v>
      </c>
      <c r="H173">
        <f t="shared" si="6"/>
        <v>11.278570715640283</v>
      </c>
      <c r="I173">
        <f t="shared" si="7"/>
        <v>2.1429284359717471E-2</v>
      </c>
      <c r="J173" t="str">
        <f t="shared" si="8"/>
        <v>&gt;= $10</v>
      </c>
    </row>
    <row r="174" spans="1:10" x14ac:dyDescent="0.35">
      <c r="A174" t="s">
        <v>1110</v>
      </c>
      <c r="B174" t="s">
        <v>1111</v>
      </c>
      <c r="C174">
        <v>1.4080000000000001E-2</v>
      </c>
      <c r="D174" t="s">
        <v>615</v>
      </c>
      <c r="E174" t="s">
        <v>1113</v>
      </c>
      <c r="F174" t="s">
        <v>1114</v>
      </c>
      <c r="G174" t="s">
        <v>1115</v>
      </c>
      <c r="H174">
        <f t="shared" si="6"/>
        <v>1.4072963518240882E-2</v>
      </c>
      <c r="I174">
        <f t="shared" si="7"/>
        <v>7.0364817591189038E-6</v>
      </c>
      <c r="J174" t="str">
        <f t="shared" si="8"/>
        <v>&lt; $10</v>
      </c>
    </row>
    <row r="175" spans="1:10" x14ac:dyDescent="0.35">
      <c r="A175" t="s">
        <v>1116</v>
      </c>
      <c r="B175" t="s">
        <v>1117</v>
      </c>
      <c r="C175">
        <v>0.99909999999999999</v>
      </c>
      <c r="D175" t="s">
        <v>257</v>
      </c>
      <c r="E175" t="s">
        <v>1119</v>
      </c>
      <c r="F175" t="s">
        <v>1120</v>
      </c>
      <c r="G175" t="s">
        <v>1121</v>
      </c>
      <c r="H175">
        <f t="shared" si="6"/>
        <v>0.99890021995600886</v>
      </c>
      <c r="I175">
        <f t="shared" si="7"/>
        <v>1.9978004399112681E-4</v>
      </c>
      <c r="J175" t="str">
        <f t="shared" si="8"/>
        <v>&lt; $10</v>
      </c>
    </row>
    <row r="176" spans="1:10" x14ac:dyDescent="0.35">
      <c r="A176" t="s">
        <v>1122</v>
      </c>
      <c r="B176" t="s">
        <v>1123</v>
      </c>
      <c r="C176">
        <v>1.328E-2</v>
      </c>
      <c r="D176" t="s">
        <v>1125</v>
      </c>
      <c r="E176" t="s">
        <v>1126</v>
      </c>
      <c r="F176" t="s">
        <v>1127</v>
      </c>
      <c r="G176" t="s">
        <v>1128</v>
      </c>
      <c r="H176">
        <f t="shared" si="6"/>
        <v>1.2676594119893088E-2</v>
      </c>
      <c r="I176">
        <f t="shared" si="7"/>
        <v>6.0340588010691226E-4</v>
      </c>
      <c r="J176" t="str">
        <f t="shared" si="8"/>
        <v>&lt; $10</v>
      </c>
    </row>
    <row r="177" spans="1:10" x14ac:dyDescent="0.35">
      <c r="A177" t="s">
        <v>1129</v>
      </c>
      <c r="B177" t="s">
        <v>1130</v>
      </c>
      <c r="C177">
        <v>9.1570000000000002E-3</v>
      </c>
      <c r="D177" t="s">
        <v>474</v>
      </c>
      <c r="E177" t="s">
        <v>1132</v>
      </c>
      <c r="F177" t="s">
        <v>1133</v>
      </c>
      <c r="G177" t="s">
        <v>1134</v>
      </c>
      <c r="H177">
        <f t="shared" si="6"/>
        <v>9.1469383677954246E-3</v>
      </c>
      <c r="I177">
        <f t="shared" si="7"/>
        <v>1.0061632204575593E-5</v>
      </c>
      <c r="J177" t="str">
        <f t="shared" si="8"/>
        <v>&lt; $10</v>
      </c>
    </row>
    <row r="178" spans="1:10" x14ac:dyDescent="0.35">
      <c r="A178" t="s">
        <v>1135</v>
      </c>
      <c r="B178" t="s">
        <v>1136</v>
      </c>
      <c r="C178">
        <v>0.23469999999999999</v>
      </c>
      <c r="D178" t="s">
        <v>932</v>
      </c>
      <c r="E178" t="s">
        <v>1138</v>
      </c>
      <c r="F178" t="s">
        <v>1139</v>
      </c>
      <c r="G178" t="s">
        <v>1140</v>
      </c>
      <c r="H178">
        <f t="shared" si="6"/>
        <v>0.23453582492255423</v>
      </c>
      <c r="I178">
        <f t="shared" si="7"/>
        <v>1.6417507744576065E-4</v>
      </c>
      <c r="J178" t="str">
        <f t="shared" si="8"/>
        <v>&lt; $10</v>
      </c>
    </row>
    <row r="179" spans="1:10" x14ac:dyDescent="0.35">
      <c r="A179" t="s">
        <v>1141</v>
      </c>
      <c r="B179" t="s">
        <v>1142</v>
      </c>
      <c r="C179">
        <v>8.1759999999999992E-3</v>
      </c>
      <c r="D179" t="s">
        <v>1144</v>
      </c>
      <c r="E179" t="s">
        <v>1145</v>
      </c>
      <c r="F179" t="s">
        <v>1146</v>
      </c>
      <c r="G179" t="s">
        <v>1147</v>
      </c>
      <c r="H179">
        <f t="shared" si="6"/>
        <v>7.8615384615384597E-3</v>
      </c>
      <c r="I179">
        <f t="shared" si="7"/>
        <v>3.144615384615395E-4</v>
      </c>
      <c r="J179" t="str">
        <f t="shared" si="8"/>
        <v>&lt; $10</v>
      </c>
    </row>
    <row r="180" spans="1:10" x14ac:dyDescent="0.35">
      <c r="A180" t="s">
        <v>1148</v>
      </c>
      <c r="B180" t="s">
        <v>1149</v>
      </c>
      <c r="C180">
        <v>0.25650000000000001</v>
      </c>
      <c r="D180" t="s">
        <v>343</v>
      </c>
      <c r="E180" t="s">
        <v>1151</v>
      </c>
      <c r="F180" t="s">
        <v>637</v>
      </c>
      <c r="G180" t="s">
        <v>1152</v>
      </c>
      <c r="H180">
        <f t="shared" si="6"/>
        <v>0.2546916890080429</v>
      </c>
      <c r="I180">
        <f t="shared" si="7"/>
        <v>1.8083109919571072E-3</v>
      </c>
      <c r="J180" t="str">
        <f t="shared" si="8"/>
        <v>&lt; $10</v>
      </c>
    </row>
    <row r="181" spans="1:10" x14ac:dyDescent="0.35">
      <c r="A181" t="s">
        <v>1153</v>
      </c>
      <c r="B181" t="s">
        <v>1154</v>
      </c>
      <c r="C181">
        <v>8.4569999999999992E-3</v>
      </c>
      <c r="D181" t="s">
        <v>322</v>
      </c>
      <c r="E181" t="s">
        <v>1156</v>
      </c>
      <c r="F181" t="s">
        <v>1157</v>
      </c>
      <c r="G181" t="s">
        <v>1158</v>
      </c>
      <c r="H181">
        <f t="shared" si="6"/>
        <v>8.4275037369207755E-3</v>
      </c>
      <c r="I181">
        <f t="shared" si="7"/>
        <v>2.949626307922372E-5</v>
      </c>
      <c r="J181" t="str">
        <f t="shared" si="8"/>
        <v>&lt; $10</v>
      </c>
    </row>
    <row r="182" spans="1:10" x14ac:dyDescent="0.35">
      <c r="A182" t="s">
        <v>1159</v>
      </c>
      <c r="B182" t="s">
        <v>1160</v>
      </c>
      <c r="C182">
        <v>8.5050000000000002E-4</v>
      </c>
      <c r="D182" t="s">
        <v>169</v>
      </c>
      <c r="E182" t="s">
        <v>1162</v>
      </c>
      <c r="F182" t="s">
        <v>1163</v>
      </c>
      <c r="G182" t="s">
        <v>1164</v>
      </c>
      <c r="H182">
        <f t="shared" si="6"/>
        <v>8.4820983344968594E-4</v>
      </c>
      <c r="I182">
        <f t="shared" si="7"/>
        <v>2.2901665503140744E-6</v>
      </c>
      <c r="J182" t="str">
        <f t="shared" si="8"/>
        <v>&lt; $10</v>
      </c>
    </row>
    <row r="183" spans="1:10" x14ac:dyDescent="0.35">
      <c r="A183" t="s">
        <v>1165</v>
      </c>
      <c r="B183" t="s">
        <v>1165</v>
      </c>
      <c r="C183">
        <v>7.9050000000000006E-3</v>
      </c>
      <c r="D183" t="s">
        <v>686</v>
      </c>
      <c r="E183" t="s">
        <v>1167</v>
      </c>
      <c r="F183" t="s">
        <v>1168</v>
      </c>
      <c r="G183" t="s">
        <v>1169</v>
      </c>
      <c r="H183">
        <f t="shared" si="6"/>
        <v>7.9018392642942834E-3</v>
      </c>
      <c r="I183">
        <f t="shared" si="7"/>
        <v>3.1607357057171492E-6</v>
      </c>
      <c r="J183" t="str">
        <f t="shared" si="8"/>
        <v>&lt; $10</v>
      </c>
    </row>
    <row r="184" spans="1:10" x14ac:dyDescent="0.35">
      <c r="A184" t="s">
        <v>1170</v>
      </c>
      <c r="B184" t="s">
        <v>1170</v>
      </c>
      <c r="C184">
        <v>7.1488999999999997E-2</v>
      </c>
      <c r="D184" t="s">
        <v>404</v>
      </c>
      <c r="E184" t="s">
        <v>1172</v>
      </c>
      <c r="F184" t="s">
        <v>1173</v>
      </c>
      <c r="G184" t="s">
        <v>1174</v>
      </c>
      <c r="H184">
        <f t="shared" si="6"/>
        <v>7.1055561077427692E-2</v>
      </c>
      <c r="I184">
        <f t="shared" si="7"/>
        <v>4.3343892257230454E-4</v>
      </c>
      <c r="J184" t="str">
        <f t="shared" si="8"/>
        <v>&lt; $10</v>
      </c>
    </row>
    <row r="185" spans="1:10" x14ac:dyDescent="0.35">
      <c r="A185" t="s">
        <v>1175</v>
      </c>
      <c r="B185" t="s">
        <v>1176</v>
      </c>
      <c r="C185">
        <v>4.2189999999999998E-2</v>
      </c>
      <c r="D185" t="s">
        <v>411</v>
      </c>
      <c r="E185" t="s">
        <v>1178</v>
      </c>
      <c r="F185" t="s">
        <v>1179</v>
      </c>
      <c r="G185" t="s">
        <v>1180</v>
      </c>
      <c r="H185">
        <f t="shared" si="6"/>
        <v>4.1792966815255073E-2</v>
      </c>
      <c r="I185">
        <f t="shared" si="7"/>
        <v>3.9703318474492572E-4</v>
      </c>
      <c r="J185" t="str">
        <f t="shared" si="8"/>
        <v>&lt; $10</v>
      </c>
    </row>
    <row r="186" spans="1:10" x14ac:dyDescent="0.35">
      <c r="A186" t="s">
        <v>1181</v>
      </c>
      <c r="B186" t="s">
        <v>1182</v>
      </c>
      <c r="C186">
        <v>4.4409999999999998E-2</v>
      </c>
      <c r="D186" t="s">
        <v>37</v>
      </c>
      <c r="E186" t="s">
        <v>1184</v>
      </c>
      <c r="F186" t="s">
        <v>1185</v>
      </c>
      <c r="G186" t="s">
        <v>1186</v>
      </c>
      <c r="H186">
        <f t="shared" si="6"/>
        <v>4.4334631127083954E-2</v>
      </c>
      <c r="I186">
        <f t="shared" si="7"/>
        <v>7.5368872916044272E-5</v>
      </c>
      <c r="J186" t="str">
        <f t="shared" si="8"/>
        <v>&lt; $10</v>
      </c>
    </row>
    <row r="187" spans="1:10" x14ac:dyDescent="0.35">
      <c r="A187" t="s">
        <v>1187</v>
      </c>
      <c r="B187" t="s">
        <v>1188</v>
      </c>
      <c r="C187">
        <v>0.1143</v>
      </c>
      <c r="D187" t="s">
        <v>17</v>
      </c>
      <c r="E187" t="s">
        <v>1190</v>
      </c>
      <c r="F187" t="s">
        <v>1191</v>
      </c>
      <c r="G187" t="s">
        <v>1192</v>
      </c>
      <c r="H187">
        <f t="shared" si="6"/>
        <v>0.11401496259351622</v>
      </c>
      <c r="I187">
        <f t="shared" si="7"/>
        <v>2.8503740648377907E-4</v>
      </c>
      <c r="J187" t="str">
        <f t="shared" si="8"/>
        <v>&lt; $10</v>
      </c>
    </row>
    <row r="188" spans="1:10" x14ac:dyDescent="0.35">
      <c r="A188" t="s">
        <v>1193</v>
      </c>
      <c r="B188" t="s">
        <v>1193</v>
      </c>
      <c r="C188">
        <v>6.4070000000000002E-4</v>
      </c>
      <c r="D188" t="s">
        <v>49</v>
      </c>
      <c r="E188" t="s">
        <v>1195</v>
      </c>
      <c r="F188" t="s">
        <v>1196</v>
      </c>
      <c r="G188" t="s">
        <v>1197</v>
      </c>
      <c r="H188">
        <f t="shared" si="6"/>
        <v>6.4063593640635943E-4</v>
      </c>
      <c r="I188">
        <f t="shared" si="7"/>
        <v>6.4063593640585094E-8</v>
      </c>
      <c r="J188" t="str">
        <f t="shared" si="8"/>
        <v>&lt; $10</v>
      </c>
    </row>
    <row r="189" spans="1:10" x14ac:dyDescent="0.35">
      <c r="A189" t="s">
        <v>1198</v>
      </c>
      <c r="B189" t="s">
        <v>1199</v>
      </c>
      <c r="C189">
        <v>6.5680000000000001E-3</v>
      </c>
      <c r="D189" t="s">
        <v>787</v>
      </c>
      <c r="E189" t="s">
        <v>1201</v>
      </c>
      <c r="F189" t="s">
        <v>1202</v>
      </c>
      <c r="G189" t="s">
        <v>1203</v>
      </c>
      <c r="H189">
        <f t="shared" si="6"/>
        <v>6.5509674845401957E-3</v>
      </c>
      <c r="I189">
        <f t="shared" si="7"/>
        <v>1.7032515459804339E-5</v>
      </c>
      <c r="J189" t="str">
        <f t="shared" si="8"/>
        <v>&lt; $10</v>
      </c>
    </row>
    <row r="190" spans="1:10" x14ac:dyDescent="0.35">
      <c r="A190" t="s">
        <v>1204</v>
      </c>
      <c r="B190" t="s">
        <v>1205</v>
      </c>
      <c r="C190">
        <v>6.1609999999999998E-3</v>
      </c>
      <c r="D190" t="s">
        <v>181</v>
      </c>
      <c r="E190" t="s">
        <v>1207</v>
      </c>
      <c r="F190" t="s">
        <v>1208</v>
      </c>
      <c r="G190" t="s">
        <v>1209</v>
      </c>
      <c r="H190">
        <f t="shared" si="6"/>
        <v>6.1218203497615262E-3</v>
      </c>
      <c r="I190">
        <f t="shared" si="7"/>
        <v>3.9179650238473605E-5</v>
      </c>
      <c r="J190" t="str">
        <f t="shared" si="8"/>
        <v>&lt; $10</v>
      </c>
    </row>
    <row r="191" spans="1:10" x14ac:dyDescent="0.35">
      <c r="A191" t="s">
        <v>1210</v>
      </c>
      <c r="B191" t="s">
        <v>1211</v>
      </c>
      <c r="C191">
        <v>0.25769999999999998</v>
      </c>
      <c r="D191" t="s">
        <v>31</v>
      </c>
      <c r="E191" t="s">
        <v>1212</v>
      </c>
      <c r="F191" t="s">
        <v>637</v>
      </c>
      <c r="G191" t="s">
        <v>1213</v>
      </c>
      <c r="H191">
        <f t="shared" si="6"/>
        <v>0.25769999999999998</v>
      </c>
      <c r="I191">
        <f t="shared" si="7"/>
        <v>0</v>
      </c>
      <c r="J191" t="str">
        <f t="shared" si="8"/>
        <v>&lt; $10</v>
      </c>
    </row>
    <row r="192" spans="1:10" x14ac:dyDescent="0.35">
      <c r="A192" t="s">
        <v>1214</v>
      </c>
      <c r="B192" t="s">
        <v>1215</v>
      </c>
      <c r="C192">
        <v>6.1289999999999999E-4</v>
      </c>
      <c r="D192" t="s">
        <v>615</v>
      </c>
      <c r="E192" t="s">
        <v>1217</v>
      </c>
      <c r="F192" t="s">
        <v>1218</v>
      </c>
      <c r="G192" t="s">
        <v>1065</v>
      </c>
      <c r="H192">
        <f t="shared" si="6"/>
        <v>6.125937031484258E-4</v>
      </c>
      <c r="I192">
        <f t="shared" si="7"/>
        <v>3.0629685157418547E-7</v>
      </c>
      <c r="J192" t="str">
        <f t="shared" si="8"/>
        <v>&lt; $10</v>
      </c>
    </row>
    <row r="193" spans="1:10" x14ac:dyDescent="0.35">
      <c r="A193" t="s">
        <v>1219</v>
      </c>
      <c r="B193" t="s">
        <v>1220</v>
      </c>
      <c r="C193">
        <v>8.1559999999999994E-2</v>
      </c>
      <c r="D193" t="s">
        <v>43</v>
      </c>
      <c r="E193" t="s">
        <v>1222</v>
      </c>
      <c r="F193" t="s">
        <v>1223</v>
      </c>
      <c r="G193" t="s">
        <v>1224</v>
      </c>
      <c r="H193">
        <f t="shared" si="6"/>
        <v>8.100109246201212E-2</v>
      </c>
      <c r="I193">
        <f t="shared" si="7"/>
        <v>5.5890753798787385E-4</v>
      </c>
      <c r="J193" t="str">
        <f t="shared" si="8"/>
        <v>&lt; $10</v>
      </c>
    </row>
    <row r="194" spans="1:10" x14ac:dyDescent="0.35">
      <c r="A194" t="s">
        <v>1225</v>
      </c>
      <c r="B194" t="s">
        <v>1226</v>
      </c>
      <c r="C194">
        <v>0.31659999999999999</v>
      </c>
      <c r="D194" t="s">
        <v>49</v>
      </c>
      <c r="E194" t="s">
        <v>1228</v>
      </c>
      <c r="F194" t="s">
        <v>1229</v>
      </c>
      <c r="G194" t="s">
        <v>1230</v>
      </c>
      <c r="H194">
        <f t="shared" ref="H194:H257" si="9">C194/(1+D194)</f>
        <v>0.31656834316568344</v>
      </c>
      <c r="I194">
        <f t="shared" ref="I194:I257" si="10">C194 - H194</f>
        <v>3.1656834316551308E-5</v>
      </c>
      <c r="J194" t="str">
        <f t="shared" ref="J194:J257" si="11">IF(C194&gt;=10,"&gt;= $10","&lt; $10")</f>
        <v>&lt; $10</v>
      </c>
    </row>
    <row r="195" spans="1:10" x14ac:dyDescent="0.35">
      <c r="A195" t="s">
        <v>1231</v>
      </c>
      <c r="B195" t="s">
        <v>1232</v>
      </c>
      <c r="C195">
        <v>1.6509999999999999E-3</v>
      </c>
      <c r="D195" t="s">
        <v>195</v>
      </c>
      <c r="E195" t="s">
        <v>1234</v>
      </c>
      <c r="F195" t="s">
        <v>1235</v>
      </c>
      <c r="G195" t="s">
        <v>1236</v>
      </c>
      <c r="H195">
        <f t="shared" si="9"/>
        <v>1.6450777202072536E-3</v>
      </c>
      <c r="I195">
        <f t="shared" si="10"/>
        <v>5.9222797927462652E-6</v>
      </c>
      <c r="J195" t="str">
        <f t="shared" si="11"/>
        <v>&lt; $10</v>
      </c>
    </row>
    <row r="196" spans="1:10" x14ac:dyDescent="0.35">
      <c r="A196" t="s">
        <v>1237</v>
      </c>
      <c r="B196" t="s">
        <v>1238</v>
      </c>
      <c r="C196">
        <v>6.1029999999999999E-3</v>
      </c>
      <c r="D196" t="s">
        <v>282</v>
      </c>
      <c r="E196" t="s">
        <v>1240</v>
      </c>
      <c r="F196" t="s">
        <v>1241</v>
      </c>
      <c r="G196" t="s">
        <v>597</v>
      </c>
      <c r="H196">
        <f t="shared" si="9"/>
        <v>6.0975122389849137E-3</v>
      </c>
      <c r="I196">
        <f t="shared" si="10"/>
        <v>5.4877610150862177E-6</v>
      </c>
      <c r="J196" t="str">
        <f t="shared" si="11"/>
        <v>&lt; $10</v>
      </c>
    </row>
    <row r="197" spans="1:10" x14ac:dyDescent="0.35">
      <c r="A197" t="s">
        <v>1242</v>
      </c>
      <c r="B197" t="s">
        <v>1243</v>
      </c>
      <c r="C197">
        <v>1.7899999999999999E-3</v>
      </c>
      <c r="D197" t="s">
        <v>49</v>
      </c>
      <c r="E197" t="s">
        <v>1245</v>
      </c>
      <c r="F197" t="s">
        <v>1246</v>
      </c>
      <c r="G197" t="s">
        <v>1247</v>
      </c>
      <c r="H197">
        <f t="shared" si="9"/>
        <v>1.7898210178982101E-3</v>
      </c>
      <c r="I197">
        <f t="shared" si="10"/>
        <v>1.7898210178985026E-7</v>
      </c>
      <c r="J197" t="str">
        <f t="shared" si="11"/>
        <v>&lt; $10</v>
      </c>
    </row>
    <row r="198" spans="1:10" x14ac:dyDescent="0.35">
      <c r="A198" t="s">
        <v>1248</v>
      </c>
      <c r="B198" t="s">
        <v>1249</v>
      </c>
      <c r="C198">
        <v>5.1570000000000001E-3</v>
      </c>
      <c r="D198" t="s">
        <v>882</v>
      </c>
      <c r="E198" t="s">
        <v>1251</v>
      </c>
      <c r="F198" t="s">
        <v>1252</v>
      </c>
      <c r="G198" t="s">
        <v>1253</v>
      </c>
      <c r="H198">
        <f t="shared" si="9"/>
        <v>5.1451661179287645E-3</v>
      </c>
      <c r="I198">
        <f t="shared" si="10"/>
        <v>1.1833882071235653E-5</v>
      </c>
      <c r="J198" t="str">
        <f t="shared" si="11"/>
        <v>&lt; $10</v>
      </c>
    </row>
    <row r="199" spans="1:10" x14ac:dyDescent="0.35">
      <c r="A199" t="s">
        <v>1254</v>
      </c>
      <c r="B199" t="s">
        <v>1255</v>
      </c>
      <c r="C199">
        <v>2.6949999999999999E-4</v>
      </c>
      <c r="D199" t="s">
        <v>839</v>
      </c>
      <c r="E199" t="s">
        <v>1257</v>
      </c>
      <c r="F199" t="s">
        <v>1258</v>
      </c>
      <c r="G199" t="s">
        <v>1259</v>
      </c>
      <c r="H199">
        <f t="shared" si="9"/>
        <v>2.6738763766246651E-4</v>
      </c>
      <c r="I199">
        <f t="shared" si="10"/>
        <v>2.1123623375334812E-6</v>
      </c>
      <c r="J199" t="str">
        <f t="shared" si="11"/>
        <v>&lt; $10</v>
      </c>
    </row>
    <row r="200" spans="1:10" x14ac:dyDescent="0.35">
      <c r="A200" t="s">
        <v>1260</v>
      </c>
      <c r="B200" t="s">
        <v>1261</v>
      </c>
      <c r="C200">
        <v>1.013E-2</v>
      </c>
      <c r="D200" t="s">
        <v>397</v>
      </c>
      <c r="E200" t="s">
        <v>1263</v>
      </c>
      <c r="F200" t="s">
        <v>1264</v>
      </c>
      <c r="G200" t="s">
        <v>1265</v>
      </c>
      <c r="H200">
        <f t="shared" si="9"/>
        <v>1.0126961911426572E-2</v>
      </c>
      <c r="I200">
        <f t="shared" si="10"/>
        <v>3.0380885734284518E-6</v>
      </c>
      <c r="J200" t="str">
        <f t="shared" si="11"/>
        <v>&lt; $10</v>
      </c>
    </row>
    <row r="201" spans="1:10" x14ac:dyDescent="0.35">
      <c r="A201" t="s">
        <v>1266</v>
      </c>
      <c r="B201" t="s">
        <v>1267</v>
      </c>
      <c r="C201">
        <v>5.287E-2</v>
      </c>
      <c r="D201" t="s">
        <v>17</v>
      </c>
      <c r="E201" t="s">
        <v>1269</v>
      </c>
      <c r="F201" t="s">
        <v>1270</v>
      </c>
      <c r="G201" t="s">
        <v>1271</v>
      </c>
      <c r="H201">
        <f t="shared" si="9"/>
        <v>5.2738154613466336E-2</v>
      </c>
      <c r="I201">
        <f t="shared" si="10"/>
        <v>1.3184538653366468E-4</v>
      </c>
      <c r="J201" t="str">
        <f t="shared" si="11"/>
        <v>&lt; $10</v>
      </c>
    </row>
    <row r="202" spans="1:10" x14ac:dyDescent="0.35">
      <c r="A202" t="s">
        <v>1272</v>
      </c>
      <c r="B202" t="s">
        <v>1273</v>
      </c>
      <c r="C202">
        <v>2.0990000000000002E-2</v>
      </c>
      <c r="D202" t="s">
        <v>686</v>
      </c>
      <c r="E202" t="s">
        <v>1275</v>
      </c>
      <c r="F202" t="s">
        <v>1276</v>
      </c>
      <c r="G202" t="s">
        <v>1277</v>
      </c>
      <c r="H202">
        <f t="shared" si="9"/>
        <v>2.0981607357057178E-2</v>
      </c>
      <c r="I202">
        <f t="shared" si="10"/>
        <v>8.3926429428234084E-6</v>
      </c>
      <c r="J202" t="str">
        <f t="shared" si="11"/>
        <v>&lt; $10</v>
      </c>
    </row>
    <row r="203" spans="1:10" x14ac:dyDescent="0.35">
      <c r="A203" t="s">
        <v>1278</v>
      </c>
      <c r="B203" t="s">
        <v>1279</v>
      </c>
      <c r="C203">
        <v>2.4240000000000001E-4</v>
      </c>
      <c r="D203" t="s">
        <v>49</v>
      </c>
      <c r="E203" t="s">
        <v>1281</v>
      </c>
      <c r="F203" t="s">
        <v>1282</v>
      </c>
      <c r="G203" t="s">
        <v>1283</v>
      </c>
      <c r="H203">
        <f t="shared" si="9"/>
        <v>2.4237576242375764E-4</v>
      </c>
      <c r="I203">
        <f t="shared" si="10"/>
        <v>2.4237576242368795E-8</v>
      </c>
      <c r="J203" t="str">
        <f t="shared" si="11"/>
        <v>&lt; $10</v>
      </c>
    </row>
    <row r="204" spans="1:10" x14ac:dyDescent="0.35">
      <c r="A204" t="s">
        <v>1284</v>
      </c>
      <c r="B204" t="s">
        <v>1285</v>
      </c>
      <c r="C204">
        <v>4.8919999999999996E-3</v>
      </c>
      <c r="D204" t="s">
        <v>514</v>
      </c>
      <c r="E204" t="s">
        <v>1287</v>
      </c>
      <c r="F204" t="s">
        <v>1288</v>
      </c>
      <c r="G204" t="s">
        <v>597</v>
      </c>
      <c r="H204">
        <f t="shared" si="9"/>
        <v>4.8725099601593623E-3</v>
      </c>
      <c r="I204">
        <f t="shared" si="10"/>
        <v>1.9490039840637345E-5</v>
      </c>
      <c r="J204" t="str">
        <f t="shared" si="11"/>
        <v>&lt; $10</v>
      </c>
    </row>
    <row r="205" spans="1:10" x14ac:dyDescent="0.35">
      <c r="A205" t="s">
        <v>1289</v>
      </c>
      <c r="B205" t="s">
        <v>1289</v>
      </c>
      <c r="C205">
        <v>0.38540000000000002</v>
      </c>
      <c r="D205" t="s">
        <v>1291</v>
      </c>
      <c r="E205" t="s">
        <v>1292</v>
      </c>
      <c r="F205" t="s">
        <v>1293</v>
      </c>
      <c r="G205" t="s">
        <v>1294</v>
      </c>
      <c r="H205">
        <f t="shared" si="9"/>
        <v>0.3791814246359701</v>
      </c>
      <c r="I205">
        <f t="shared" si="10"/>
        <v>6.2185753640299213E-3</v>
      </c>
      <c r="J205" t="str">
        <f t="shared" si="11"/>
        <v>&lt; $10</v>
      </c>
    </row>
    <row r="206" spans="1:10" x14ac:dyDescent="0.35">
      <c r="A206" t="s">
        <v>1295</v>
      </c>
      <c r="B206" t="s">
        <v>1296</v>
      </c>
      <c r="C206">
        <v>7.8514E-2</v>
      </c>
      <c r="D206" t="s">
        <v>1298</v>
      </c>
      <c r="E206" t="s">
        <v>1299</v>
      </c>
      <c r="F206" t="s">
        <v>1300</v>
      </c>
      <c r="G206" t="s">
        <v>1301</v>
      </c>
      <c r="H206">
        <f t="shared" si="9"/>
        <v>7.7636705230890932E-2</v>
      </c>
      <c r="I206">
        <f t="shared" si="10"/>
        <v>8.7729476910906878E-4</v>
      </c>
      <c r="J206" t="str">
        <f t="shared" si="11"/>
        <v>&lt; $10</v>
      </c>
    </row>
    <row r="207" spans="1:10" x14ac:dyDescent="0.35">
      <c r="A207" t="s">
        <v>1302</v>
      </c>
      <c r="B207" t="s">
        <v>1303</v>
      </c>
      <c r="C207">
        <v>4.8719999999999996E-3</v>
      </c>
      <c r="D207" t="s">
        <v>615</v>
      </c>
      <c r="E207" t="s">
        <v>1305</v>
      </c>
      <c r="F207" t="s">
        <v>1306</v>
      </c>
      <c r="G207" t="s">
        <v>1209</v>
      </c>
      <c r="H207">
        <f t="shared" si="9"/>
        <v>4.8695652173913039E-3</v>
      </c>
      <c r="I207">
        <f t="shared" si="10"/>
        <v>2.4347826086956736E-6</v>
      </c>
      <c r="J207" t="str">
        <f t="shared" si="11"/>
        <v>&lt; $10</v>
      </c>
    </row>
    <row r="208" spans="1:10" x14ac:dyDescent="0.35">
      <c r="A208" t="s">
        <v>1307</v>
      </c>
      <c r="B208" t="s">
        <v>1308</v>
      </c>
      <c r="C208">
        <v>0.31380000000000002</v>
      </c>
      <c r="D208" t="s">
        <v>1310</v>
      </c>
      <c r="E208" t="s">
        <v>1311</v>
      </c>
      <c r="F208" t="s">
        <v>1312</v>
      </c>
      <c r="G208" t="s">
        <v>1313</v>
      </c>
      <c r="H208">
        <f t="shared" si="9"/>
        <v>0.31186642814549792</v>
      </c>
      <c r="I208">
        <f t="shared" si="10"/>
        <v>1.933571854502103E-3</v>
      </c>
      <c r="J208" t="str">
        <f t="shared" si="11"/>
        <v>&lt; $10</v>
      </c>
    </row>
    <row r="209" spans="1:10" x14ac:dyDescent="0.35">
      <c r="A209" t="s">
        <v>1314</v>
      </c>
      <c r="B209" t="s">
        <v>1315</v>
      </c>
      <c r="C209">
        <v>9.76</v>
      </c>
      <c r="D209" t="s">
        <v>1317</v>
      </c>
      <c r="E209" t="s">
        <v>1318</v>
      </c>
      <c r="F209" t="s">
        <v>1319</v>
      </c>
      <c r="G209" t="s">
        <v>1320</v>
      </c>
      <c r="H209">
        <f t="shared" si="9"/>
        <v>9.6528533280585496</v>
      </c>
      <c r="I209">
        <f t="shared" si="10"/>
        <v>0.10714667194145022</v>
      </c>
      <c r="J209" t="str">
        <f t="shared" si="11"/>
        <v>&lt; $10</v>
      </c>
    </row>
    <row r="210" spans="1:10" x14ac:dyDescent="0.35">
      <c r="A210" t="s">
        <v>1321</v>
      </c>
      <c r="B210" t="s">
        <v>1322</v>
      </c>
      <c r="C210">
        <v>2.1340000000000001E-2</v>
      </c>
      <c r="D210" t="s">
        <v>188</v>
      </c>
      <c r="E210" t="s">
        <v>1324</v>
      </c>
      <c r="F210" t="s">
        <v>1325</v>
      </c>
      <c r="G210" t="s">
        <v>1326</v>
      </c>
      <c r="H210">
        <f t="shared" si="9"/>
        <v>2.1124529796079986E-2</v>
      </c>
      <c r="I210">
        <f t="shared" si="10"/>
        <v>2.1547020392001515E-4</v>
      </c>
      <c r="J210" t="str">
        <f t="shared" si="11"/>
        <v>&lt; $10</v>
      </c>
    </row>
    <row r="211" spans="1:10" x14ac:dyDescent="0.35">
      <c r="A211" t="s">
        <v>1327</v>
      </c>
      <c r="B211" t="s">
        <v>1328</v>
      </c>
      <c r="C211">
        <v>1.6209999999999999E-2</v>
      </c>
      <c r="D211" t="s">
        <v>1330</v>
      </c>
      <c r="E211" t="s">
        <v>1331</v>
      </c>
      <c r="F211" t="s">
        <v>1332</v>
      </c>
      <c r="G211" t="s">
        <v>1333</v>
      </c>
      <c r="H211">
        <f t="shared" si="9"/>
        <v>1.6148635186292087E-2</v>
      </c>
      <c r="I211">
        <f t="shared" si="10"/>
        <v>6.1364813707911331E-5</v>
      </c>
      <c r="J211" t="str">
        <f t="shared" si="11"/>
        <v>&lt; $10</v>
      </c>
    </row>
    <row r="212" spans="1:10" x14ac:dyDescent="0.35">
      <c r="A212" t="s">
        <v>1334</v>
      </c>
      <c r="B212" t="s">
        <v>1335</v>
      </c>
      <c r="C212">
        <v>8.0429999999999998E-4</v>
      </c>
      <c r="D212" t="s">
        <v>49</v>
      </c>
      <c r="E212" t="s">
        <v>1337</v>
      </c>
      <c r="F212" t="s">
        <v>1338</v>
      </c>
      <c r="G212" t="s">
        <v>1339</v>
      </c>
      <c r="H212">
        <f t="shared" si="9"/>
        <v>8.0421957804219582E-4</v>
      </c>
      <c r="I212">
        <f t="shared" si="10"/>
        <v>8.0421957804159561E-8</v>
      </c>
      <c r="J212" t="str">
        <f t="shared" si="11"/>
        <v>&lt; $10</v>
      </c>
    </row>
    <row r="213" spans="1:10" x14ac:dyDescent="0.35">
      <c r="A213" t="s">
        <v>1340</v>
      </c>
      <c r="B213" t="s">
        <v>1341</v>
      </c>
      <c r="C213">
        <v>0.47410000000000002</v>
      </c>
      <c r="D213" t="s">
        <v>1343</v>
      </c>
      <c r="E213" t="s">
        <v>1344</v>
      </c>
      <c r="F213" t="s">
        <v>1345</v>
      </c>
      <c r="G213" t="s">
        <v>1346</v>
      </c>
      <c r="H213">
        <f t="shared" si="9"/>
        <v>0.46829316475701305</v>
      </c>
      <c r="I213">
        <f t="shared" si="10"/>
        <v>5.8068352429869741E-3</v>
      </c>
      <c r="J213" t="str">
        <f t="shared" si="11"/>
        <v>&lt; $10</v>
      </c>
    </row>
    <row r="214" spans="1:10" x14ac:dyDescent="0.35">
      <c r="A214" t="s">
        <v>1347</v>
      </c>
      <c r="B214" t="s">
        <v>1348</v>
      </c>
      <c r="C214">
        <v>0.40710000000000002</v>
      </c>
      <c r="D214" t="s">
        <v>686</v>
      </c>
      <c r="E214" t="s">
        <v>1350</v>
      </c>
      <c r="F214" t="s">
        <v>1351</v>
      </c>
      <c r="G214" t="s">
        <v>1352</v>
      </c>
      <c r="H214">
        <f t="shared" si="9"/>
        <v>0.40693722510995606</v>
      </c>
      <c r="I214">
        <f t="shared" si="10"/>
        <v>1.6277489004395962E-4</v>
      </c>
      <c r="J214" t="str">
        <f t="shared" si="11"/>
        <v>&lt; $10</v>
      </c>
    </row>
    <row r="215" spans="1:10" x14ac:dyDescent="0.35">
      <c r="A215" t="s">
        <v>1353</v>
      </c>
      <c r="B215" t="s">
        <v>1354</v>
      </c>
      <c r="C215">
        <v>1</v>
      </c>
      <c r="D215" t="s">
        <v>615</v>
      </c>
      <c r="E215" t="s">
        <v>1355</v>
      </c>
      <c r="F215" t="s">
        <v>1356</v>
      </c>
      <c r="G215" t="s">
        <v>1357</v>
      </c>
      <c r="H215">
        <f t="shared" si="9"/>
        <v>0.99950024987506247</v>
      </c>
      <c r="I215">
        <f t="shared" si="10"/>
        <v>4.997501249375258E-4</v>
      </c>
      <c r="J215" t="str">
        <f t="shared" si="11"/>
        <v>&lt; $10</v>
      </c>
    </row>
    <row r="216" spans="1:10" x14ac:dyDescent="0.35">
      <c r="A216" t="s">
        <v>1358</v>
      </c>
      <c r="B216" t="s">
        <v>1359</v>
      </c>
      <c r="C216">
        <v>8.4569999999999992E-3</v>
      </c>
      <c r="D216" t="s">
        <v>773</v>
      </c>
      <c r="E216" t="s">
        <v>1360</v>
      </c>
      <c r="F216" t="s">
        <v>1361</v>
      </c>
      <c r="G216" t="s">
        <v>1362</v>
      </c>
      <c r="H216">
        <f t="shared" si="9"/>
        <v>8.3699524940617567E-3</v>
      </c>
      <c r="I216">
        <f t="shared" si="10"/>
        <v>8.7047505938242509E-5</v>
      </c>
      <c r="J216" t="str">
        <f t="shared" si="11"/>
        <v>&lt; $10</v>
      </c>
    </row>
    <row r="217" spans="1:10" x14ac:dyDescent="0.35">
      <c r="A217" t="s">
        <v>1363</v>
      </c>
      <c r="B217" t="s">
        <v>1364</v>
      </c>
      <c r="C217">
        <v>0.20180000000000001</v>
      </c>
      <c r="D217" t="s">
        <v>1366</v>
      </c>
      <c r="E217" t="s">
        <v>1367</v>
      </c>
      <c r="F217" t="s">
        <v>1368</v>
      </c>
      <c r="G217" t="s">
        <v>1369</v>
      </c>
      <c r="H217">
        <f t="shared" si="9"/>
        <v>0.19840723625995479</v>
      </c>
      <c r="I217">
        <f t="shared" si="10"/>
        <v>3.3927637400452126E-3</v>
      </c>
      <c r="J217" t="str">
        <f t="shared" si="11"/>
        <v>&lt; $10</v>
      </c>
    </row>
    <row r="218" spans="1:10" x14ac:dyDescent="0.35">
      <c r="A218" t="s">
        <v>1370</v>
      </c>
      <c r="B218" t="s">
        <v>1371</v>
      </c>
      <c r="C218">
        <v>1.206E-2</v>
      </c>
      <c r="D218" t="s">
        <v>1373</v>
      </c>
      <c r="E218" t="s">
        <v>1374</v>
      </c>
      <c r="F218" t="s">
        <v>1375</v>
      </c>
      <c r="G218" t="s">
        <v>1376</v>
      </c>
      <c r="H218">
        <f t="shared" si="9"/>
        <v>1.1961912318984328E-2</v>
      </c>
      <c r="I218">
        <f t="shared" si="10"/>
        <v>9.8087681015671113E-5</v>
      </c>
      <c r="J218" t="str">
        <f t="shared" si="11"/>
        <v>&lt; $10</v>
      </c>
    </row>
    <row r="219" spans="1:10" x14ac:dyDescent="0.35">
      <c r="A219" t="s">
        <v>1377</v>
      </c>
      <c r="B219" t="s">
        <v>1378</v>
      </c>
      <c r="C219">
        <v>7.1764999999999995E-2</v>
      </c>
      <c r="D219" t="s">
        <v>49</v>
      </c>
      <c r="E219" t="s">
        <v>1380</v>
      </c>
      <c r="F219" t="s">
        <v>1381</v>
      </c>
      <c r="G219" t="s">
        <v>1382</v>
      </c>
      <c r="H219">
        <f t="shared" si="9"/>
        <v>7.1757824217578245E-2</v>
      </c>
      <c r="I219">
        <f t="shared" si="10"/>
        <v>7.1757824217505428E-6</v>
      </c>
      <c r="J219" t="str">
        <f t="shared" si="11"/>
        <v>&lt; $10</v>
      </c>
    </row>
    <row r="220" spans="1:10" x14ac:dyDescent="0.35">
      <c r="A220" t="s">
        <v>1383</v>
      </c>
      <c r="B220" t="s">
        <v>1384</v>
      </c>
      <c r="C220">
        <v>8.9389999999999999E-4</v>
      </c>
      <c r="D220" t="s">
        <v>397</v>
      </c>
      <c r="E220" t="s">
        <v>1386</v>
      </c>
      <c r="F220" t="s">
        <v>1387</v>
      </c>
      <c r="G220" t="s">
        <v>1388</v>
      </c>
      <c r="H220">
        <f t="shared" si="9"/>
        <v>8.93631910426872E-4</v>
      </c>
      <c r="I220">
        <f t="shared" si="10"/>
        <v>2.6808957312798604E-7</v>
      </c>
      <c r="J220" t="str">
        <f t="shared" si="11"/>
        <v>&lt; $10</v>
      </c>
    </row>
    <row r="221" spans="1:10" x14ac:dyDescent="0.35">
      <c r="A221" t="s">
        <v>1389</v>
      </c>
      <c r="B221" t="s">
        <v>1390</v>
      </c>
      <c r="C221">
        <v>4.5539999999999999E-3</v>
      </c>
      <c r="D221" t="s">
        <v>49</v>
      </c>
      <c r="E221" t="s">
        <v>1392</v>
      </c>
      <c r="F221" t="s">
        <v>1393</v>
      </c>
      <c r="G221" t="s">
        <v>1394</v>
      </c>
      <c r="H221">
        <f t="shared" si="9"/>
        <v>4.5535446455354468E-3</v>
      </c>
      <c r="I221">
        <f t="shared" si="10"/>
        <v>4.5535446455309547E-7</v>
      </c>
      <c r="J221" t="str">
        <f t="shared" si="11"/>
        <v>&lt; $10</v>
      </c>
    </row>
    <row r="222" spans="1:10" x14ac:dyDescent="0.35">
      <c r="A222" t="s">
        <v>1395</v>
      </c>
      <c r="B222" t="s">
        <v>1396</v>
      </c>
      <c r="C222">
        <v>8.3799999999999999E-4</v>
      </c>
      <c r="D222" t="s">
        <v>474</v>
      </c>
      <c r="E222" t="s">
        <v>1398</v>
      </c>
      <c r="F222" t="s">
        <v>1399</v>
      </c>
      <c r="G222" t="s">
        <v>1400</v>
      </c>
      <c r="H222">
        <f t="shared" si="9"/>
        <v>8.3707921286584747E-4</v>
      </c>
      <c r="I222">
        <f t="shared" si="10"/>
        <v>9.2078713415251999E-7</v>
      </c>
      <c r="J222" t="str">
        <f t="shared" si="11"/>
        <v>&lt; $10</v>
      </c>
    </row>
    <row r="223" spans="1:10" x14ac:dyDescent="0.35">
      <c r="A223" t="s">
        <v>1401</v>
      </c>
      <c r="B223" t="s">
        <v>1401</v>
      </c>
      <c r="C223">
        <v>1.4109999999999999E-2</v>
      </c>
      <c r="D223" t="s">
        <v>31</v>
      </c>
      <c r="E223" t="s">
        <v>1403</v>
      </c>
      <c r="F223" t="s">
        <v>637</v>
      </c>
      <c r="G223" t="s">
        <v>1404</v>
      </c>
      <c r="H223">
        <f t="shared" si="9"/>
        <v>1.4109999999999999E-2</v>
      </c>
      <c r="I223">
        <f t="shared" si="10"/>
        <v>0</v>
      </c>
      <c r="J223" t="str">
        <f t="shared" si="11"/>
        <v>&lt; $10</v>
      </c>
    </row>
    <row r="224" spans="1:10" x14ac:dyDescent="0.35">
      <c r="A224" t="s">
        <v>1405</v>
      </c>
      <c r="B224" t="s">
        <v>1406</v>
      </c>
      <c r="C224">
        <v>6.5129999999999993E-2</v>
      </c>
      <c r="D224" t="s">
        <v>49</v>
      </c>
      <c r="E224" t="s">
        <v>1408</v>
      </c>
      <c r="F224" t="s">
        <v>1409</v>
      </c>
      <c r="G224" t="s">
        <v>1410</v>
      </c>
      <c r="H224">
        <f t="shared" si="9"/>
        <v>6.5123487651234865E-2</v>
      </c>
      <c r="I224">
        <f t="shared" si="10"/>
        <v>6.5123487651280731E-6</v>
      </c>
      <c r="J224" t="str">
        <f t="shared" si="11"/>
        <v>&lt; $10</v>
      </c>
    </row>
    <row r="225" spans="1:10" x14ac:dyDescent="0.35">
      <c r="A225" t="s">
        <v>1411</v>
      </c>
      <c r="B225" t="s">
        <v>1412</v>
      </c>
      <c r="C225">
        <v>6.3566999999999999E-2</v>
      </c>
      <c r="D225" t="s">
        <v>195</v>
      </c>
      <c r="E225" t="s">
        <v>1414</v>
      </c>
      <c r="F225" t="s">
        <v>1415</v>
      </c>
      <c r="G225" t="s">
        <v>1416</v>
      </c>
      <c r="H225">
        <f t="shared" si="9"/>
        <v>6.333897967317656E-2</v>
      </c>
      <c r="I225">
        <f t="shared" si="10"/>
        <v>2.2802032682343876E-4</v>
      </c>
      <c r="J225" t="str">
        <f t="shared" si="11"/>
        <v>&lt; $10</v>
      </c>
    </row>
    <row r="226" spans="1:10" x14ac:dyDescent="0.35">
      <c r="A226" t="s">
        <v>1417</v>
      </c>
      <c r="B226" t="s">
        <v>1418</v>
      </c>
      <c r="C226">
        <v>136.32</v>
      </c>
      <c r="D226" t="s">
        <v>686</v>
      </c>
      <c r="E226" t="s">
        <v>1420</v>
      </c>
      <c r="F226" t="s">
        <v>1421</v>
      </c>
      <c r="G226" t="s">
        <v>1422</v>
      </c>
      <c r="H226">
        <f t="shared" si="9"/>
        <v>136.265493802479</v>
      </c>
      <c r="I226">
        <f t="shared" si="10"/>
        <v>5.4506197520993283E-2</v>
      </c>
      <c r="J226" t="str">
        <f t="shared" si="11"/>
        <v>&gt;= $10</v>
      </c>
    </row>
    <row r="227" spans="1:10" x14ac:dyDescent="0.35">
      <c r="A227" t="s">
        <v>1423</v>
      </c>
      <c r="B227" t="s">
        <v>1424</v>
      </c>
      <c r="C227">
        <v>3.1900000000000001E-3</v>
      </c>
      <c r="D227" t="s">
        <v>302</v>
      </c>
      <c r="E227" t="s">
        <v>1426</v>
      </c>
      <c r="F227" t="s">
        <v>1427</v>
      </c>
      <c r="G227" t="s">
        <v>597</v>
      </c>
      <c r="H227">
        <f t="shared" si="9"/>
        <v>3.1587285869888108E-3</v>
      </c>
      <c r="I227">
        <f t="shared" si="10"/>
        <v>3.1271413011189301E-5</v>
      </c>
      <c r="J227" t="str">
        <f t="shared" si="11"/>
        <v>&lt; $10</v>
      </c>
    </row>
    <row r="228" spans="1:10" x14ac:dyDescent="0.35">
      <c r="A228" t="s">
        <v>1428</v>
      </c>
      <c r="B228" t="s">
        <v>1429</v>
      </c>
      <c r="C228">
        <v>1.0640000000000001E-3</v>
      </c>
      <c r="D228" t="s">
        <v>123</v>
      </c>
      <c r="E228" t="s">
        <v>1431</v>
      </c>
      <c r="F228" t="s">
        <v>1432</v>
      </c>
      <c r="G228" t="s">
        <v>1433</v>
      </c>
      <c r="H228">
        <f t="shared" si="9"/>
        <v>1.0620882411659014E-3</v>
      </c>
      <c r="I228">
        <f t="shared" si="10"/>
        <v>1.9117588340986959E-6</v>
      </c>
      <c r="J228" t="str">
        <f t="shared" si="11"/>
        <v>&lt; $10</v>
      </c>
    </row>
    <row r="229" spans="1:10" x14ac:dyDescent="0.35">
      <c r="A229" t="s">
        <v>1434</v>
      </c>
      <c r="B229" t="s">
        <v>1435</v>
      </c>
      <c r="C229">
        <v>6.3759999999999997E-3</v>
      </c>
      <c r="D229" t="s">
        <v>96</v>
      </c>
      <c r="E229" t="s">
        <v>1437</v>
      </c>
      <c r="F229" t="s">
        <v>1438</v>
      </c>
      <c r="G229" t="s">
        <v>1439</v>
      </c>
      <c r="H229">
        <f t="shared" si="9"/>
        <v>6.3166237368733891E-3</v>
      </c>
      <c r="I229">
        <f t="shared" si="10"/>
        <v>5.9376263126610651E-5</v>
      </c>
      <c r="J229" t="str">
        <f t="shared" si="11"/>
        <v>&lt; $10</v>
      </c>
    </row>
    <row r="230" spans="1:10" x14ac:dyDescent="0.35">
      <c r="A230" t="s">
        <v>1440</v>
      </c>
      <c r="B230" t="s">
        <v>67</v>
      </c>
      <c r="C230">
        <v>3.2520000000000001E-3</v>
      </c>
      <c r="D230" t="s">
        <v>10</v>
      </c>
      <c r="E230" t="s">
        <v>1442</v>
      </c>
      <c r="F230" t="s">
        <v>1443</v>
      </c>
      <c r="G230" t="s">
        <v>1444</v>
      </c>
      <c r="H230">
        <f t="shared" si="9"/>
        <v>3.2500499700179896E-3</v>
      </c>
      <c r="I230">
        <f t="shared" si="10"/>
        <v>1.9500299820104927E-6</v>
      </c>
      <c r="J230" t="str">
        <f t="shared" si="11"/>
        <v>&lt; $10</v>
      </c>
    </row>
    <row r="231" spans="1:10" x14ac:dyDescent="0.35">
      <c r="A231" t="s">
        <v>1445</v>
      </c>
      <c r="B231" t="s">
        <v>1445</v>
      </c>
      <c r="C231">
        <v>3.918E-2</v>
      </c>
      <c r="D231" t="s">
        <v>1447</v>
      </c>
      <c r="E231" t="s">
        <v>1448</v>
      </c>
      <c r="F231" t="s">
        <v>1449</v>
      </c>
      <c r="G231" t="s">
        <v>1450</v>
      </c>
      <c r="H231">
        <f t="shared" si="9"/>
        <v>3.8934711318692236E-2</v>
      </c>
      <c r="I231">
        <f t="shared" si="10"/>
        <v>2.4528868130776343E-4</v>
      </c>
      <c r="J231" t="str">
        <f t="shared" si="11"/>
        <v>&lt; $10</v>
      </c>
    </row>
    <row r="232" spans="1:10" x14ac:dyDescent="0.35">
      <c r="A232" t="s">
        <v>1451</v>
      </c>
      <c r="B232" t="s">
        <v>1452</v>
      </c>
      <c r="C232">
        <v>2.5149999999999999E-3</v>
      </c>
      <c r="D232" t="s">
        <v>181</v>
      </c>
      <c r="E232" t="s">
        <v>1454</v>
      </c>
      <c r="F232" t="s">
        <v>1455</v>
      </c>
      <c r="G232" t="s">
        <v>1456</v>
      </c>
      <c r="H232">
        <f t="shared" si="9"/>
        <v>2.4990063593004768E-3</v>
      </c>
      <c r="I232">
        <f t="shared" si="10"/>
        <v>1.599364069952312E-5</v>
      </c>
      <c r="J232" t="str">
        <f t="shared" si="11"/>
        <v>&lt; $10</v>
      </c>
    </row>
    <row r="233" spans="1:10" x14ac:dyDescent="0.35">
      <c r="A233" t="s">
        <v>1457</v>
      </c>
      <c r="B233" t="s">
        <v>1458</v>
      </c>
      <c r="C233">
        <v>6.3727000000000006E-2</v>
      </c>
      <c r="D233" t="s">
        <v>992</v>
      </c>
      <c r="E233" t="s">
        <v>1460</v>
      </c>
      <c r="F233" t="s">
        <v>1461</v>
      </c>
      <c r="G233" t="s">
        <v>1462</v>
      </c>
      <c r="H233">
        <f t="shared" si="9"/>
        <v>6.3284011916583921E-2</v>
      </c>
      <c r="I233">
        <f t="shared" si="10"/>
        <v>4.4298808341608487E-4</v>
      </c>
      <c r="J233" t="str">
        <f t="shared" si="11"/>
        <v>&lt; $10</v>
      </c>
    </row>
    <row r="234" spans="1:10" x14ac:dyDescent="0.35">
      <c r="A234" t="s">
        <v>1463</v>
      </c>
      <c r="B234" t="s">
        <v>1464</v>
      </c>
      <c r="C234">
        <v>0.1105</v>
      </c>
      <c r="D234" t="s">
        <v>1466</v>
      </c>
      <c r="E234" t="s">
        <v>1467</v>
      </c>
      <c r="F234" t="s">
        <v>1468</v>
      </c>
      <c r="G234" t="s">
        <v>1469</v>
      </c>
      <c r="H234">
        <f t="shared" si="9"/>
        <v>0.10728155339805825</v>
      </c>
      <c r="I234">
        <f t="shared" si="10"/>
        <v>3.2184466019417463E-3</v>
      </c>
      <c r="J234" t="str">
        <f t="shared" si="11"/>
        <v>&lt; $10</v>
      </c>
    </row>
    <row r="235" spans="1:10" x14ac:dyDescent="0.35">
      <c r="A235" t="s">
        <v>1470</v>
      </c>
      <c r="B235" t="s">
        <v>1471</v>
      </c>
      <c r="C235">
        <v>3.1609999999999999E-2</v>
      </c>
      <c r="D235" t="s">
        <v>136</v>
      </c>
      <c r="E235" t="s">
        <v>1473</v>
      </c>
      <c r="F235" t="s">
        <v>1474</v>
      </c>
      <c r="G235" t="s">
        <v>898</v>
      </c>
      <c r="H235">
        <f t="shared" si="9"/>
        <v>3.1572113463843386E-2</v>
      </c>
      <c r="I235">
        <f t="shared" si="10"/>
        <v>3.7886536156613027E-5</v>
      </c>
      <c r="J235" t="str">
        <f t="shared" si="11"/>
        <v>&lt; $10</v>
      </c>
    </row>
    <row r="236" spans="1:10" x14ac:dyDescent="0.35">
      <c r="A236" t="s">
        <v>1475</v>
      </c>
      <c r="B236" t="s">
        <v>1476</v>
      </c>
      <c r="C236">
        <v>1.5720000000000001E-2</v>
      </c>
      <c r="D236" t="s">
        <v>832</v>
      </c>
      <c r="E236" t="s">
        <v>1478</v>
      </c>
      <c r="F236" t="s">
        <v>1479</v>
      </c>
      <c r="G236" t="s">
        <v>1480</v>
      </c>
      <c r="H236">
        <f t="shared" si="9"/>
        <v>1.5637123246792003E-2</v>
      </c>
      <c r="I236">
        <f t="shared" si="10"/>
        <v>8.2876753207998533E-5</v>
      </c>
      <c r="J236" t="str">
        <f t="shared" si="11"/>
        <v>&lt; $10</v>
      </c>
    </row>
    <row r="237" spans="1:10" x14ac:dyDescent="0.35">
      <c r="A237" t="s">
        <v>1481</v>
      </c>
      <c r="B237" t="s">
        <v>1482</v>
      </c>
      <c r="C237">
        <v>4.975E-4</v>
      </c>
      <c r="D237" t="s">
        <v>123</v>
      </c>
      <c r="E237" t="s">
        <v>1484</v>
      </c>
      <c r="F237" t="s">
        <v>1485</v>
      </c>
      <c r="G237" t="s">
        <v>1486</v>
      </c>
      <c r="H237">
        <f t="shared" si="9"/>
        <v>4.9660610900379321E-4</v>
      </c>
      <c r="I237">
        <f t="shared" si="10"/>
        <v>8.9389099620679376E-7</v>
      </c>
      <c r="J237" t="str">
        <f t="shared" si="11"/>
        <v>&lt; $10</v>
      </c>
    </row>
    <row r="238" spans="1:10" x14ac:dyDescent="0.35">
      <c r="A238" t="s">
        <v>1487</v>
      </c>
      <c r="B238" t="s">
        <v>1487</v>
      </c>
      <c r="C238">
        <v>7.894E-4</v>
      </c>
      <c r="D238" t="s">
        <v>1489</v>
      </c>
      <c r="E238" t="s">
        <v>1490</v>
      </c>
      <c r="F238" t="s">
        <v>1491</v>
      </c>
      <c r="G238" t="s">
        <v>1492</v>
      </c>
      <c r="H238">
        <f t="shared" si="9"/>
        <v>7.7007121256462789E-4</v>
      </c>
      <c r="I238">
        <f t="shared" si="10"/>
        <v>1.9328787435372104E-5</v>
      </c>
      <c r="J238" t="str">
        <f t="shared" si="11"/>
        <v>&lt; $10</v>
      </c>
    </row>
    <row r="239" spans="1:10" x14ac:dyDescent="0.35">
      <c r="A239" t="s">
        <v>1493</v>
      </c>
      <c r="B239" t="s">
        <v>1493</v>
      </c>
      <c r="C239">
        <v>3.1489999999999999E-3</v>
      </c>
      <c r="D239" t="s">
        <v>195</v>
      </c>
      <c r="E239" t="s">
        <v>1495</v>
      </c>
      <c r="F239" t="s">
        <v>1496</v>
      </c>
      <c r="G239" t="s">
        <v>1497</v>
      </c>
      <c r="H239">
        <f t="shared" si="9"/>
        <v>3.1377042646472697E-3</v>
      </c>
      <c r="I239">
        <f t="shared" si="10"/>
        <v>1.1295735352730239E-5</v>
      </c>
      <c r="J239" t="str">
        <f t="shared" si="11"/>
        <v>&lt; $10</v>
      </c>
    </row>
    <row r="240" spans="1:10" x14ac:dyDescent="0.35">
      <c r="A240" t="s">
        <v>1498</v>
      </c>
      <c r="B240" t="s">
        <v>1499</v>
      </c>
      <c r="C240">
        <v>6.3820000000000002E-2</v>
      </c>
      <c r="D240" t="s">
        <v>1501</v>
      </c>
      <c r="E240" t="s">
        <v>1502</v>
      </c>
      <c r="F240" t="s">
        <v>1503</v>
      </c>
      <c r="G240" t="s">
        <v>1504</v>
      </c>
      <c r="H240">
        <f t="shared" si="9"/>
        <v>6.3679904210736382E-2</v>
      </c>
      <c r="I240">
        <f t="shared" si="10"/>
        <v>1.4009578926361954E-4</v>
      </c>
      <c r="J240" t="str">
        <f t="shared" si="11"/>
        <v>&lt; $10</v>
      </c>
    </row>
    <row r="241" spans="1:10" x14ac:dyDescent="0.35">
      <c r="A241" t="s">
        <v>1505</v>
      </c>
      <c r="B241" t="s">
        <v>1506</v>
      </c>
      <c r="C241">
        <v>3.8E-3</v>
      </c>
      <c r="D241" t="s">
        <v>31</v>
      </c>
      <c r="E241" t="s">
        <v>1508</v>
      </c>
      <c r="F241" t="s">
        <v>1509</v>
      </c>
      <c r="G241" t="s">
        <v>1510</v>
      </c>
      <c r="H241">
        <f t="shared" si="9"/>
        <v>3.8E-3</v>
      </c>
      <c r="I241">
        <f t="shared" si="10"/>
        <v>0</v>
      </c>
      <c r="J241" t="str">
        <f t="shared" si="11"/>
        <v>&lt; $10</v>
      </c>
    </row>
    <row r="242" spans="1:10" x14ac:dyDescent="0.35">
      <c r="A242" t="s">
        <v>1511</v>
      </c>
      <c r="B242" t="s">
        <v>1512</v>
      </c>
      <c r="C242">
        <v>3.4120000000000001E-3</v>
      </c>
      <c r="D242" t="s">
        <v>83</v>
      </c>
      <c r="E242" t="s">
        <v>1514</v>
      </c>
      <c r="F242" t="s">
        <v>1515</v>
      </c>
      <c r="G242" t="s">
        <v>1516</v>
      </c>
      <c r="H242">
        <f t="shared" si="9"/>
        <v>3.4014554879872394E-3</v>
      </c>
      <c r="I242">
        <f t="shared" si="10"/>
        <v>1.0544512012760666E-5</v>
      </c>
      <c r="J242" t="str">
        <f t="shared" si="11"/>
        <v>&lt; $10</v>
      </c>
    </row>
    <row r="243" spans="1:10" x14ac:dyDescent="0.35">
      <c r="A243" t="s">
        <v>1517</v>
      </c>
      <c r="B243" t="s">
        <v>1518</v>
      </c>
      <c r="C243">
        <v>145.96</v>
      </c>
      <c r="D243" t="s">
        <v>1501</v>
      </c>
      <c r="E243" t="s">
        <v>1520</v>
      </c>
      <c r="F243" t="s">
        <v>1521</v>
      </c>
      <c r="G243" t="s">
        <v>1522</v>
      </c>
      <c r="H243">
        <f t="shared" si="9"/>
        <v>145.63959289562962</v>
      </c>
      <c r="I243">
        <f t="shared" si="10"/>
        <v>0.32040710437038911</v>
      </c>
      <c r="J243" t="str">
        <f t="shared" si="11"/>
        <v>&gt;= $10</v>
      </c>
    </row>
    <row r="244" spans="1:10" x14ac:dyDescent="0.35">
      <c r="A244" t="s">
        <v>1523</v>
      </c>
      <c r="B244" t="s">
        <v>1524</v>
      </c>
      <c r="C244">
        <v>0.27050000000000002</v>
      </c>
      <c r="D244" t="s">
        <v>1526</v>
      </c>
      <c r="E244" t="s">
        <v>1527</v>
      </c>
      <c r="F244" t="s">
        <v>1528</v>
      </c>
      <c r="G244" t="s">
        <v>1529</v>
      </c>
      <c r="H244">
        <f t="shared" si="9"/>
        <v>0.26936865166301538</v>
      </c>
      <c r="I244">
        <f t="shared" si="10"/>
        <v>1.1313483369846389E-3</v>
      </c>
      <c r="J244" t="str">
        <f t="shared" si="11"/>
        <v>&lt; $10</v>
      </c>
    </row>
    <row r="245" spans="1:10" x14ac:dyDescent="0.35">
      <c r="A245" t="s">
        <v>1530</v>
      </c>
      <c r="B245" t="s">
        <v>1531</v>
      </c>
      <c r="C245">
        <v>5.7320000000000003E-2</v>
      </c>
      <c r="D245" t="s">
        <v>31</v>
      </c>
      <c r="E245" t="s">
        <v>1533</v>
      </c>
      <c r="F245" t="s">
        <v>637</v>
      </c>
      <c r="G245" t="s">
        <v>1534</v>
      </c>
      <c r="H245">
        <f t="shared" si="9"/>
        <v>5.7320000000000003E-2</v>
      </c>
      <c r="I245">
        <f t="shared" si="10"/>
        <v>0</v>
      </c>
      <c r="J245" t="str">
        <f t="shared" si="11"/>
        <v>&lt; $10</v>
      </c>
    </row>
    <row r="246" spans="1:10" x14ac:dyDescent="0.35">
      <c r="A246" t="s">
        <v>1535</v>
      </c>
      <c r="B246" t="s">
        <v>1536</v>
      </c>
      <c r="C246">
        <v>0.27979999999999999</v>
      </c>
      <c r="D246" t="s">
        <v>49</v>
      </c>
      <c r="E246" t="s">
        <v>1538</v>
      </c>
      <c r="F246" t="s">
        <v>1539</v>
      </c>
      <c r="G246" t="s">
        <v>1540</v>
      </c>
      <c r="H246">
        <f t="shared" si="9"/>
        <v>0.27977202279772023</v>
      </c>
      <c r="I246">
        <f t="shared" si="10"/>
        <v>2.797720227976086E-5</v>
      </c>
      <c r="J246" t="str">
        <f t="shared" si="11"/>
        <v>&lt; $10</v>
      </c>
    </row>
    <row r="247" spans="1:10" x14ac:dyDescent="0.35">
      <c r="A247" t="s">
        <v>1541</v>
      </c>
      <c r="B247" t="s">
        <v>1542</v>
      </c>
      <c r="C247">
        <v>4.3049999999999998E-3</v>
      </c>
      <c r="D247" t="s">
        <v>1106</v>
      </c>
      <c r="E247" t="s">
        <v>1544</v>
      </c>
      <c r="F247" t="s">
        <v>1545</v>
      </c>
      <c r="G247" t="s">
        <v>1546</v>
      </c>
      <c r="H247">
        <f t="shared" si="9"/>
        <v>4.2968360115780016E-3</v>
      </c>
      <c r="I247">
        <f t="shared" si="10"/>
        <v>8.1639884219981626E-6</v>
      </c>
      <c r="J247" t="str">
        <f t="shared" si="11"/>
        <v>&lt; $10</v>
      </c>
    </row>
    <row r="248" spans="1:10" x14ac:dyDescent="0.35">
      <c r="A248" t="s">
        <v>1547</v>
      </c>
      <c r="B248" t="s">
        <v>1548</v>
      </c>
      <c r="C248">
        <v>1.702E-3</v>
      </c>
      <c r="D248" t="s">
        <v>1550</v>
      </c>
      <c r="E248" t="s">
        <v>1551</v>
      </c>
      <c r="F248" t="s">
        <v>1552</v>
      </c>
      <c r="G248" t="s">
        <v>1553</v>
      </c>
      <c r="H248">
        <f t="shared" si="9"/>
        <v>1.688994740498164E-3</v>
      </c>
      <c r="I248">
        <f t="shared" si="10"/>
        <v>1.3005259501835996E-5</v>
      </c>
      <c r="J248" t="str">
        <f t="shared" si="11"/>
        <v>&lt; $10</v>
      </c>
    </row>
    <row r="249" spans="1:10" x14ac:dyDescent="0.35">
      <c r="A249" t="s">
        <v>1554</v>
      </c>
      <c r="B249" t="s">
        <v>1555</v>
      </c>
      <c r="C249">
        <v>2.5929999999999998E-3</v>
      </c>
      <c r="D249" t="s">
        <v>588</v>
      </c>
      <c r="E249" t="s">
        <v>1557</v>
      </c>
      <c r="F249" t="s">
        <v>1558</v>
      </c>
      <c r="G249" t="s">
        <v>597</v>
      </c>
      <c r="H249">
        <f t="shared" si="9"/>
        <v>2.5783036690862084E-3</v>
      </c>
      <c r="I249">
        <f t="shared" si="10"/>
        <v>1.4696330913791401E-5</v>
      </c>
      <c r="J249" t="str">
        <f t="shared" si="11"/>
        <v>&lt; $10</v>
      </c>
    </row>
    <row r="250" spans="1:10" x14ac:dyDescent="0.35">
      <c r="A250" t="s">
        <v>1559</v>
      </c>
      <c r="B250" t="s">
        <v>1560</v>
      </c>
      <c r="C250">
        <v>486.67</v>
      </c>
      <c r="D250" t="s">
        <v>49</v>
      </c>
      <c r="E250" t="s">
        <v>1562</v>
      </c>
      <c r="F250" t="s">
        <v>1563</v>
      </c>
      <c r="G250" t="s">
        <v>1564</v>
      </c>
      <c r="H250">
        <f t="shared" si="9"/>
        <v>486.62133786621342</v>
      </c>
      <c r="I250">
        <f t="shared" si="10"/>
        <v>4.8662133786592676E-2</v>
      </c>
      <c r="J250" t="str">
        <f t="shared" si="11"/>
        <v>&gt;= $10</v>
      </c>
    </row>
    <row r="251" spans="1:10" x14ac:dyDescent="0.35">
      <c r="A251" t="s">
        <v>1565</v>
      </c>
      <c r="B251" t="s">
        <v>1566</v>
      </c>
      <c r="C251">
        <v>3.9810000000000002E-3</v>
      </c>
      <c r="D251" t="s">
        <v>1501</v>
      </c>
      <c r="E251" t="s">
        <v>1568</v>
      </c>
      <c r="F251" t="s">
        <v>1569</v>
      </c>
      <c r="G251" t="s">
        <v>1570</v>
      </c>
      <c r="H251">
        <f t="shared" si="9"/>
        <v>3.9722610257433653E-3</v>
      </c>
      <c r="I251">
        <f t="shared" si="10"/>
        <v>8.7389742566348905E-6</v>
      </c>
      <c r="J251" t="str">
        <f t="shared" si="11"/>
        <v>&lt; $10</v>
      </c>
    </row>
    <row r="252" spans="1:10" x14ac:dyDescent="0.35">
      <c r="A252" t="s">
        <v>1571</v>
      </c>
      <c r="B252" t="s">
        <v>1572</v>
      </c>
      <c r="C252">
        <v>2.5720000000000001E-3</v>
      </c>
      <c r="D252" t="s">
        <v>705</v>
      </c>
      <c r="E252" t="s">
        <v>1574</v>
      </c>
      <c r="F252" t="s">
        <v>1575</v>
      </c>
      <c r="G252" t="s">
        <v>1576</v>
      </c>
      <c r="H252">
        <f t="shared" si="9"/>
        <v>2.5533604685793704E-3</v>
      </c>
      <c r="I252">
        <f t="shared" si="10"/>
        <v>1.8639531420629706E-5</v>
      </c>
      <c r="J252" t="str">
        <f t="shared" si="11"/>
        <v>&lt; $10</v>
      </c>
    </row>
    <row r="253" spans="1:10" x14ac:dyDescent="0.35">
      <c r="A253" t="s">
        <v>1577</v>
      </c>
      <c r="B253" t="s">
        <v>1578</v>
      </c>
      <c r="C253">
        <v>3.7050000000000001E-4</v>
      </c>
      <c r="D253" t="s">
        <v>257</v>
      </c>
      <c r="E253" t="s">
        <v>1580</v>
      </c>
      <c r="F253" t="s">
        <v>1581</v>
      </c>
      <c r="G253" t="s">
        <v>1582</v>
      </c>
      <c r="H253">
        <f t="shared" si="9"/>
        <v>3.704259148170366E-4</v>
      </c>
      <c r="I253">
        <f t="shared" si="10"/>
        <v>7.4085182963411558E-8</v>
      </c>
      <c r="J253" t="str">
        <f t="shared" si="11"/>
        <v>&lt; $10</v>
      </c>
    </row>
    <row r="254" spans="1:10" x14ac:dyDescent="0.35">
      <c r="A254" t="s">
        <v>1583</v>
      </c>
      <c r="B254" t="s">
        <v>1584</v>
      </c>
      <c r="C254">
        <v>2.5690000000000001E-3</v>
      </c>
      <c r="D254" t="s">
        <v>282</v>
      </c>
      <c r="E254" t="s">
        <v>1586</v>
      </c>
      <c r="F254" t="s">
        <v>1587</v>
      </c>
      <c r="G254" t="s">
        <v>597</v>
      </c>
      <c r="H254">
        <f t="shared" si="9"/>
        <v>2.5666899790188834E-3</v>
      </c>
      <c r="I254">
        <f t="shared" si="10"/>
        <v>2.3100209811167428E-6</v>
      </c>
      <c r="J254" t="str">
        <f t="shared" si="11"/>
        <v>&lt; $10</v>
      </c>
    </row>
    <row r="255" spans="1:10" x14ac:dyDescent="0.35">
      <c r="A255" t="s">
        <v>1588</v>
      </c>
      <c r="B255" t="s">
        <v>1589</v>
      </c>
      <c r="C255">
        <v>3.2620000000000001E-3</v>
      </c>
      <c r="D255" t="s">
        <v>561</v>
      </c>
      <c r="E255" t="s">
        <v>1591</v>
      </c>
      <c r="F255" t="s">
        <v>1592</v>
      </c>
      <c r="G255" t="s">
        <v>1593</v>
      </c>
      <c r="H255">
        <f t="shared" si="9"/>
        <v>3.2477100756670651E-3</v>
      </c>
      <c r="I255">
        <f t="shared" si="10"/>
        <v>1.4289924332935074E-5</v>
      </c>
      <c r="J255" t="str">
        <f t="shared" si="11"/>
        <v>&lt; $10</v>
      </c>
    </row>
    <row r="256" spans="1:10" x14ac:dyDescent="0.35">
      <c r="A256" t="s">
        <v>1594</v>
      </c>
      <c r="B256" t="s">
        <v>1595</v>
      </c>
      <c r="C256">
        <v>1.089E-2</v>
      </c>
      <c r="D256" t="s">
        <v>1597</v>
      </c>
      <c r="E256" t="s">
        <v>1598</v>
      </c>
      <c r="F256" t="s">
        <v>1599</v>
      </c>
      <c r="G256" t="s">
        <v>1600</v>
      </c>
      <c r="H256">
        <f t="shared" si="9"/>
        <v>1.0088938299055031E-2</v>
      </c>
      <c r="I256">
        <f t="shared" si="10"/>
        <v>8.0106170094496922E-4</v>
      </c>
      <c r="J256" t="str">
        <f t="shared" si="11"/>
        <v>&lt; $10</v>
      </c>
    </row>
    <row r="257" spans="1:10" x14ac:dyDescent="0.35">
      <c r="A257" t="s">
        <v>1601</v>
      </c>
      <c r="B257" t="s">
        <v>1602</v>
      </c>
      <c r="C257">
        <v>5.4380000000000001E-3</v>
      </c>
      <c r="D257" t="s">
        <v>49</v>
      </c>
      <c r="E257" t="s">
        <v>1604</v>
      </c>
      <c r="F257" t="s">
        <v>1605</v>
      </c>
      <c r="G257" t="s">
        <v>1606</v>
      </c>
      <c r="H257">
        <f t="shared" si="9"/>
        <v>5.4374562543745624E-3</v>
      </c>
      <c r="I257">
        <f t="shared" si="10"/>
        <v>5.4374562543767907E-7</v>
      </c>
      <c r="J257" t="str">
        <f t="shared" si="11"/>
        <v>&lt; $10</v>
      </c>
    </row>
    <row r="258" spans="1:10" x14ac:dyDescent="0.35">
      <c r="A258" t="s">
        <v>1607</v>
      </c>
      <c r="B258" t="s">
        <v>1608</v>
      </c>
      <c r="C258">
        <v>2.1250000000000002E-3</v>
      </c>
      <c r="D258" t="s">
        <v>839</v>
      </c>
      <c r="E258" t="s">
        <v>1610</v>
      </c>
      <c r="F258" t="s">
        <v>1611</v>
      </c>
      <c r="G258" t="s">
        <v>1612</v>
      </c>
      <c r="H258">
        <f t="shared" ref="H258:H301" si="12">C258/(1+D258)</f>
        <v>2.1083440817541424E-3</v>
      </c>
      <c r="I258">
        <f t="shared" ref="I258:I301" si="13">C258 - H258</f>
        <v>1.6655918245857791E-5</v>
      </c>
      <c r="J258" t="str">
        <f t="shared" ref="J258:J301" si="14">IF(C258&gt;=10,"&gt;= $10","&lt; $10")</f>
        <v>&lt; $10</v>
      </c>
    </row>
    <row r="259" spans="1:10" x14ac:dyDescent="0.35">
      <c r="A259" t="s">
        <v>1613</v>
      </c>
      <c r="B259" t="s">
        <v>1614</v>
      </c>
      <c r="C259">
        <v>2.139E-5</v>
      </c>
      <c r="D259" t="s">
        <v>1616</v>
      </c>
      <c r="E259" t="s">
        <v>1617</v>
      </c>
      <c r="F259" t="s">
        <v>1618</v>
      </c>
      <c r="G259" t="s">
        <v>1619</v>
      </c>
      <c r="H259">
        <f t="shared" si="12"/>
        <v>2.0937744714173842E-5</v>
      </c>
      <c r="I259">
        <f t="shared" si="13"/>
        <v>4.5225528582615803E-7</v>
      </c>
      <c r="J259" t="str">
        <f t="shared" si="14"/>
        <v>&lt; $10</v>
      </c>
    </row>
    <row r="260" spans="1:10" x14ac:dyDescent="0.35">
      <c r="A260" t="s">
        <v>1620</v>
      </c>
      <c r="B260" t="s">
        <v>1621</v>
      </c>
      <c r="C260">
        <v>1.1000000000000001</v>
      </c>
      <c r="D260" t="s">
        <v>49</v>
      </c>
      <c r="E260" t="s">
        <v>1623</v>
      </c>
      <c r="F260" t="s">
        <v>1624</v>
      </c>
      <c r="G260" t="s">
        <v>1625</v>
      </c>
      <c r="H260">
        <f t="shared" si="12"/>
        <v>1.0998900109989003</v>
      </c>
      <c r="I260">
        <f t="shared" si="13"/>
        <v>1.0998900109981946E-4</v>
      </c>
      <c r="J260" t="str">
        <f t="shared" si="14"/>
        <v>&lt; $10</v>
      </c>
    </row>
    <row r="261" spans="1:10" x14ac:dyDescent="0.35">
      <c r="A261" t="s">
        <v>1626</v>
      </c>
      <c r="B261" t="s">
        <v>1627</v>
      </c>
      <c r="C261">
        <v>269.86</v>
      </c>
      <c r="D261" t="s">
        <v>49</v>
      </c>
      <c r="E261" t="s">
        <v>1629</v>
      </c>
      <c r="F261" t="s">
        <v>1630</v>
      </c>
      <c r="G261" t="s">
        <v>1631</v>
      </c>
      <c r="H261">
        <f t="shared" si="12"/>
        <v>269.8330166983302</v>
      </c>
      <c r="I261">
        <f t="shared" si="13"/>
        <v>2.6983301669815773E-2</v>
      </c>
      <c r="J261" t="str">
        <f t="shared" si="14"/>
        <v>&gt;= $10</v>
      </c>
    </row>
    <row r="262" spans="1:10" x14ac:dyDescent="0.35">
      <c r="A262" t="s">
        <v>1632</v>
      </c>
      <c r="B262" t="s">
        <v>1633</v>
      </c>
      <c r="C262">
        <v>0.26769999999999999</v>
      </c>
      <c r="D262" t="s">
        <v>1635</v>
      </c>
      <c r="E262" t="s">
        <v>1636</v>
      </c>
      <c r="F262" t="s">
        <v>1637</v>
      </c>
      <c r="G262" t="s">
        <v>1638</v>
      </c>
      <c r="H262">
        <f t="shared" si="12"/>
        <v>0.26408207556476271</v>
      </c>
      <c r="I262">
        <f t="shared" si="13"/>
        <v>3.6179244352372852E-3</v>
      </c>
      <c r="J262" t="str">
        <f t="shared" si="14"/>
        <v>&lt; $10</v>
      </c>
    </row>
    <row r="263" spans="1:10" x14ac:dyDescent="0.35">
      <c r="A263" t="s">
        <v>1639</v>
      </c>
      <c r="B263" t="s">
        <v>1639</v>
      </c>
      <c r="C263">
        <v>2.0509999999999999E-3</v>
      </c>
      <c r="D263" t="s">
        <v>1641</v>
      </c>
      <c r="E263" t="s">
        <v>1642</v>
      </c>
      <c r="F263" t="s">
        <v>1643</v>
      </c>
      <c r="G263" t="s">
        <v>597</v>
      </c>
      <c r="H263">
        <f t="shared" si="12"/>
        <v>2.0027341079972656E-3</v>
      </c>
      <c r="I263">
        <f t="shared" si="13"/>
        <v>4.826589200273429E-5</v>
      </c>
      <c r="J263" t="str">
        <f t="shared" si="14"/>
        <v>&lt; $10</v>
      </c>
    </row>
    <row r="264" spans="1:10" x14ac:dyDescent="0.35">
      <c r="A264" t="s">
        <v>1644</v>
      </c>
      <c r="B264" t="s">
        <v>1645</v>
      </c>
      <c r="C264">
        <v>4.7009999999999999E-4</v>
      </c>
      <c r="D264" t="s">
        <v>411</v>
      </c>
      <c r="E264" t="s">
        <v>1647</v>
      </c>
      <c r="F264" t="s">
        <v>1648</v>
      </c>
      <c r="G264" t="s">
        <v>1649</v>
      </c>
      <c r="H264">
        <f t="shared" si="12"/>
        <v>4.6567607726597323E-4</v>
      </c>
      <c r="I264">
        <f t="shared" si="13"/>
        <v>4.423922734026755E-6</v>
      </c>
      <c r="J264" t="str">
        <f t="shared" si="14"/>
        <v>&lt; $10</v>
      </c>
    </row>
    <row r="265" spans="1:10" x14ac:dyDescent="0.35">
      <c r="A265" t="s">
        <v>1650</v>
      </c>
      <c r="B265" t="s">
        <v>1651</v>
      </c>
      <c r="C265">
        <v>0.1804</v>
      </c>
      <c r="D265" t="s">
        <v>169</v>
      </c>
      <c r="E265" t="s">
        <v>1653</v>
      </c>
      <c r="F265" t="s">
        <v>1654</v>
      </c>
      <c r="G265" t="s">
        <v>1655</v>
      </c>
      <c r="H265">
        <f t="shared" si="12"/>
        <v>0.1799142315747482</v>
      </c>
      <c r="I265">
        <f t="shared" si="13"/>
        <v>4.8576842525180353E-4</v>
      </c>
      <c r="J265" t="str">
        <f t="shared" si="14"/>
        <v>&lt; $10</v>
      </c>
    </row>
    <row r="266" spans="1:10" x14ac:dyDescent="0.35">
      <c r="A266" t="s">
        <v>1656</v>
      </c>
      <c r="B266" t="s">
        <v>1657</v>
      </c>
      <c r="C266">
        <v>2.94E-5</v>
      </c>
      <c r="D266" t="s">
        <v>116</v>
      </c>
      <c r="E266" t="s">
        <v>1659</v>
      </c>
      <c r="F266" t="s">
        <v>1660</v>
      </c>
      <c r="G266" t="s">
        <v>1661</v>
      </c>
      <c r="H266">
        <f t="shared" si="12"/>
        <v>2.9358897543439184E-5</v>
      </c>
      <c r="I266">
        <f t="shared" si="13"/>
        <v>4.1102456560815359E-8</v>
      </c>
      <c r="J266" t="str">
        <f t="shared" si="14"/>
        <v>&lt; $10</v>
      </c>
    </row>
    <row r="267" spans="1:10" x14ac:dyDescent="0.35">
      <c r="A267" t="s">
        <v>1662</v>
      </c>
      <c r="B267" t="s">
        <v>1663</v>
      </c>
      <c r="C267">
        <v>52.74</v>
      </c>
      <c r="D267" t="s">
        <v>1665</v>
      </c>
      <c r="E267" t="s">
        <v>1666</v>
      </c>
      <c r="F267" t="s">
        <v>1667</v>
      </c>
      <c r="G267" t="s">
        <v>1668</v>
      </c>
      <c r="H267">
        <f t="shared" si="12"/>
        <v>52.04776472910293</v>
      </c>
      <c r="I267">
        <f t="shared" si="13"/>
        <v>0.69223527089707204</v>
      </c>
      <c r="J267" t="str">
        <f t="shared" si="14"/>
        <v>&gt;= $10</v>
      </c>
    </row>
    <row r="268" spans="1:10" x14ac:dyDescent="0.35">
      <c r="A268" t="s">
        <v>1669</v>
      </c>
      <c r="B268" t="s">
        <v>1670</v>
      </c>
      <c r="C268">
        <v>8.4326999999999999E-2</v>
      </c>
      <c r="D268" t="s">
        <v>17</v>
      </c>
      <c r="E268" t="s">
        <v>1672</v>
      </c>
      <c r="F268" t="s">
        <v>1673</v>
      </c>
      <c r="G268" t="s">
        <v>1674</v>
      </c>
      <c r="H268">
        <f t="shared" si="12"/>
        <v>8.4116708229426435E-2</v>
      </c>
      <c r="I268">
        <f t="shared" si="13"/>
        <v>2.1029177057356463E-4</v>
      </c>
      <c r="J268" t="str">
        <f t="shared" si="14"/>
        <v>&lt; $10</v>
      </c>
    </row>
    <row r="269" spans="1:10" x14ac:dyDescent="0.35">
      <c r="A269" t="s">
        <v>1675</v>
      </c>
      <c r="B269" t="s">
        <v>1676</v>
      </c>
      <c r="C269">
        <v>5.4059000000000003E-2</v>
      </c>
      <c r="D269" t="s">
        <v>1678</v>
      </c>
      <c r="E269" t="s">
        <v>1679</v>
      </c>
      <c r="F269" t="s">
        <v>1680</v>
      </c>
      <c r="G269" t="s">
        <v>1681</v>
      </c>
      <c r="H269">
        <f t="shared" si="12"/>
        <v>5.2190577331531186E-2</v>
      </c>
      <c r="I269">
        <f t="shared" si="13"/>
        <v>1.8684226684688165E-3</v>
      </c>
      <c r="J269" t="str">
        <f t="shared" si="14"/>
        <v>&lt; $10</v>
      </c>
    </row>
    <row r="270" spans="1:10" x14ac:dyDescent="0.35">
      <c r="A270" t="s">
        <v>1682</v>
      </c>
      <c r="B270" t="s">
        <v>1683</v>
      </c>
      <c r="C270">
        <v>5.507E-4</v>
      </c>
      <c r="D270" t="s">
        <v>309</v>
      </c>
      <c r="E270" t="s">
        <v>1685</v>
      </c>
      <c r="F270" t="s">
        <v>1686</v>
      </c>
      <c r="G270" t="s">
        <v>1687</v>
      </c>
      <c r="H270">
        <f t="shared" si="12"/>
        <v>5.4812381805514085E-4</v>
      </c>
      <c r="I270">
        <f t="shared" si="13"/>
        <v>2.5761819448591461E-6</v>
      </c>
      <c r="J270" t="str">
        <f t="shared" si="14"/>
        <v>&lt; $10</v>
      </c>
    </row>
    <row r="271" spans="1:10" x14ac:dyDescent="0.35">
      <c r="A271" t="s">
        <v>1688</v>
      </c>
      <c r="B271" t="s">
        <v>1689</v>
      </c>
      <c r="C271">
        <v>1.6160399999999998E-2</v>
      </c>
      <c r="D271" t="s">
        <v>49</v>
      </c>
      <c r="E271" t="s">
        <v>1691</v>
      </c>
      <c r="F271" t="s">
        <v>1692</v>
      </c>
      <c r="G271" t="s">
        <v>1693</v>
      </c>
      <c r="H271">
        <f t="shared" si="12"/>
        <v>1.6158784121587839E-2</v>
      </c>
      <c r="I271">
        <f t="shared" si="13"/>
        <v>1.6158784121589331E-6</v>
      </c>
      <c r="J271" t="str">
        <f t="shared" si="14"/>
        <v>&lt; $10</v>
      </c>
    </row>
    <row r="272" spans="1:10" x14ac:dyDescent="0.35">
      <c r="A272" t="s">
        <v>1694</v>
      </c>
      <c r="B272" t="s">
        <v>1695</v>
      </c>
      <c r="C272">
        <v>4.6809999999999999E-4</v>
      </c>
      <c r="D272" t="s">
        <v>672</v>
      </c>
      <c r="E272" t="s">
        <v>1697</v>
      </c>
      <c r="F272" t="s">
        <v>1698</v>
      </c>
      <c r="G272" t="s">
        <v>1699</v>
      </c>
      <c r="H272">
        <f t="shared" si="12"/>
        <v>4.6567847194588138E-4</v>
      </c>
      <c r="I272">
        <f t="shared" si="13"/>
        <v>2.4215280541186159E-6</v>
      </c>
      <c r="J272" t="str">
        <f t="shared" si="14"/>
        <v>&lt; $10</v>
      </c>
    </row>
    <row r="273" spans="1:10" x14ac:dyDescent="0.35">
      <c r="A273" t="s">
        <v>1700</v>
      </c>
      <c r="B273" t="s">
        <v>1701</v>
      </c>
      <c r="C273">
        <v>3.0130000000000001E-2</v>
      </c>
      <c r="D273" t="s">
        <v>282</v>
      </c>
      <c r="E273" t="s">
        <v>1703</v>
      </c>
      <c r="F273" t="s">
        <v>1704</v>
      </c>
      <c r="G273" t="s">
        <v>1705</v>
      </c>
      <c r="H273">
        <f t="shared" si="12"/>
        <v>3.0102907383354985E-2</v>
      </c>
      <c r="I273">
        <f t="shared" si="13"/>
        <v>2.7092616645015694E-5</v>
      </c>
      <c r="J273" t="str">
        <f t="shared" si="14"/>
        <v>&lt; $10</v>
      </c>
    </row>
    <row r="274" spans="1:10" x14ac:dyDescent="0.35">
      <c r="A274" t="s">
        <v>1706</v>
      </c>
      <c r="B274" t="s">
        <v>1707</v>
      </c>
      <c r="C274">
        <v>4.182E-3</v>
      </c>
      <c r="D274" t="s">
        <v>257</v>
      </c>
      <c r="E274" t="s">
        <v>1709</v>
      </c>
      <c r="F274" t="s">
        <v>1710</v>
      </c>
      <c r="G274" t="s">
        <v>1711</v>
      </c>
      <c r="H274">
        <f t="shared" si="12"/>
        <v>4.1811637672465509E-3</v>
      </c>
      <c r="I274">
        <f t="shared" si="13"/>
        <v>8.3623275344904546E-7</v>
      </c>
      <c r="J274" t="str">
        <f t="shared" si="14"/>
        <v>&lt; $10</v>
      </c>
    </row>
    <row r="275" spans="1:10" x14ac:dyDescent="0.35">
      <c r="A275" t="s">
        <v>1712</v>
      </c>
      <c r="B275" t="s">
        <v>1713</v>
      </c>
      <c r="C275">
        <v>2.3930000000000002E-3</v>
      </c>
      <c r="D275" t="s">
        <v>1715</v>
      </c>
      <c r="E275" t="s">
        <v>1716</v>
      </c>
      <c r="F275" t="s">
        <v>1717</v>
      </c>
      <c r="G275" t="s">
        <v>1718</v>
      </c>
      <c r="H275">
        <f t="shared" si="12"/>
        <v>2.3253328150811391E-3</v>
      </c>
      <c r="I275">
        <f t="shared" si="13"/>
        <v>6.7667184918861027E-5</v>
      </c>
      <c r="J275" t="str">
        <f t="shared" si="14"/>
        <v>&lt; $10</v>
      </c>
    </row>
    <row r="276" spans="1:10" x14ac:dyDescent="0.35">
      <c r="A276" t="s">
        <v>1719</v>
      </c>
      <c r="B276" t="s">
        <v>1720</v>
      </c>
      <c r="C276">
        <v>1.572E-3</v>
      </c>
      <c r="D276" t="s">
        <v>220</v>
      </c>
      <c r="E276" t="s">
        <v>1722</v>
      </c>
      <c r="F276" t="s">
        <v>1723</v>
      </c>
      <c r="G276" t="s">
        <v>1724</v>
      </c>
      <c r="H276">
        <f t="shared" si="12"/>
        <v>1.5682362330407024E-3</v>
      </c>
      <c r="I276">
        <f t="shared" si="13"/>
        <v>3.7637669592976639E-6</v>
      </c>
      <c r="J276" t="str">
        <f t="shared" si="14"/>
        <v>&lt; $10</v>
      </c>
    </row>
    <row r="277" spans="1:10" x14ac:dyDescent="0.35">
      <c r="A277" t="s">
        <v>1725</v>
      </c>
      <c r="B277" t="s">
        <v>1726</v>
      </c>
      <c r="C277">
        <v>3.3639999999999998E-3</v>
      </c>
      <c r="D277" t="s">
        <v>932</v>
      </c>
      <c r="E277" t="s">
        <v>1728</v>
      </c>
      <c r="F277" t="s">
        <v>1729</v>
      </c>
      <c r="G277" t="s">
        <v>1730</v>
      </c>
      <c r="H277">
        <f t="shared" si="12"/>
        <v>3.361646847206955E-3</v>
      </c>
      <c r="I277">
        <f t="shared" si="13"/>
        <v>2.3531527930447868E-6</v>
      </c>
      <c r="J277" t="str">
        <f t="shared" si="14"/>
        <v>&lt; $10</v>
      </c>
    </row>
    <row r="278" spans="1:10" x14ac:dyDescent="0.35">
      <c r="A278" t="s">
        <v>1731</v>
      </c>
      <c r="B278" t="s">
        <v>1732</v>
      </c>
      <c r="C278">
        <v>2.4069999999999999E-3</v>
      </c>
      <c r="D278" t="s">
        <v>31</v>
      </c>
      <c r="E278" t="s">
        <v>1734</v>
      </c>
      <c r="F278" t="s">
        <v>637</v>
      </c>
      <c r="G278" t="s">
        <v>1735</v>
      </c>
      <c r="H278">
        <f t="shared" si="12"/>
        <v>2.4069999999999999E-3</v>
      </c>
      <c r="I278">
        <f t="shared" si="13"/>
        <v>0</v>
      </c>
      <c r="J278" t="str">
        <f t="shared" si="14"/>
        <v>&lt; $10</v>
      </c>
    </row>
    <row r="279" spans="1:10" x14ac:dyDescent="0.35">
      <c r="A279" t="s">
        <v>1736</v>
      </c>
      <c r="B279" t="s">
        <v>1737</v>
      </c>
      <c r="C279">
        <v>5.8009999999999997E-3</v>
      </c>
      <c r="D279" t="s">
        <v>257</v>
      </c>
      <c r="E279" t="s">
        <v>1739</v>
      </c>
      <c r="F279" t="s">
        <v>1740</v>
      </c>
      <c r="G279" t="s">
        <v>1741</v>
      </c>
      <c r="H279">
        <f t="shared" si="12"/>
        <v>5.799840031993601E-3</v>
      </c>
      <c r="I279">
        <f t="shared" si="13"/>
        <v>1.1599680063987053E-6</v>
      </c>
      <c r="J279" t="str">
        <f t="shared" si="14"/>
        <v>&lt; $10</v>
      </c>
    </row>
    <row r="280" spans="1:10" x14ac:dyDescent="0.35">
      <c r="A280" t="s">
        <v>1742</v>
      </c>
      <c r="B280" t="s">
        <v>1743</v>
      </c>
      <c r="C280">
        <v>5.4859999999999999E-2</v>
      </c>
      <c r="D280" t="s">
        <v>343</v>
      </c>
      <c r="E280" t="s">
        <v>1745</v>
      </c>
      <c r="F280" t="s">
        <v>1746</v>
      </c>
      <c r="G280" t="s">
        <v>1747</v>
      </c>
      <c r="H280">
        <f t="shared" si="12"/>
        <v>5.447323999602819E-2</v>
      </c>
      <c r="I280">
        <f t="shared" si="13"/>
        <v>3.8676000397180887E-4</v>
      </c>
      <c r="J280" t="str">
        <f t="shared" si="14"/>
        <v>&lt; $10</v>
      </c>
    </row>
    <row r="281" spans="1:10" x14ac:dyDescent="0.35">
      <c r="A281" t="s">
        <v>1748</v>
      </c>
      <c r="B281" t="s">
        <v>1749</v>
      </c>
      <c r="C281">
        <v>1.885E-3</v>
      </c>
      <c r="D281" t="s">
        <v>49</v>
      </c>
      <c r="E281" t="s">
        <v>1751</v>
      </c>
      <c r="F281" t="s">
        <v>1752</v>
      </c>
      <c r="G281" t="s">
        <v>1753</v>
      </c>
      <c r="H281">
        <f t="shared" si="12"/>
        <v>1.8848115188481152E-3</v>
      </c>
      <c r="I281">
        <f t="shared" si="13"/>
        <v>1.8848115188475206E-7</v>
      </c>
      <c r="J281" t="str">
        <f t="shared" si="14"/>
        <v>&lt; $10</v>
      </c>
    </row>
    <row r="282" spans="1:10" x14ac:dyDescent="0.35">
      <c r="A282" t="s">
        <v>1754</v>
      </c>
      <c r="B282" t="s">
        <v>1755</v>
      </c>
      <c r="C282">
        <v>1.2689999999999999E-4</v>
      </c>
      <c r="D282" t="s">
        <v>1026</v>
      </c>
      <c r="E282" t="s">
        <v>1757</v>
      </c>
      <c r="F282" t="s">
        <v>1758</v>
      </c>
      <c r="G282" t="s">
        <v>1759</v>
      </c>
      <c r="H282">
        <f t="shared" si="12"/>
        <v>1.2626865671641792E-4</v>
      </c>
      <c r="I282">
        <f t="shared" si="13"/>
        <v>6.3134328358207658E-7</v>
      </c>
      <c r="J282" t="str">
        <f t="shared" si="14"/>
        <v>&lt; $10</v>
      </c>
    </row>
    <row r="283" spans="1:10" x14ac:dyDescent="0.35">
      <c r="A283" t="s">
        <v>1760</v>
      </c>
      <c r="B283" t="s">
        <v>1761</v>
      </c>
      <c r="C283">
        <v>1.6299999999999999E-3</v>
      </c>
      <c r="D283" t="s">
        <v>1763</v>
      </c>
      <c r="E283" t="s">
        <v>1764</v>
      </c>
      <c r="F283" t="s">
        <v>1765</v>
      </c>
      <c r="G283" t="s">
        <v>597</v>
      </c>
      <c r="H283">
        <f t="shared" si="12"/>
        <v>1.6217291811760021E-3</v>
      </c>
      <c r="I283">
        <f t="shared" si="13"/>
        <v>8.270818823997864E-6</v>
      </c>
      <c r="J283" t="str">
        <f t="shared" si="14"/>
        <v>&lt; $10</v>
      </c>
    </row>
    <row r="284" spans="1:10" x14ac:dyDescent="0.35">
      <c r="A284" t="s">
        <v>1766</v>
      </c>
      <c r="B284" t="s">
        <v>1767</v>
      </c>
      <c r="C284">
        <v>2.7470000000000001E-4</v>
      </c>
      <c r="D284" t="s">
        <v>1769</v>
      </c>
      <c r="E284" t="s">
        <v>1770</v>
      </c>
      <c r="F284" t="s">
        <v>1771</v>
      </c>
      <c r="G284" t="s">
        <v>1772</v>
      </c>
      <c r="H284">
        <f t="shared" si="12"/>
        <v>2.685239491691105E-4</v>
      </c>
      <c r="I284">
        <f t="shared" si="13"/>
        <v>6.1760508308895089E-6</v>
      </c>
      <c r="J284" t="str">
        <f t="shared" si="14"/>
        <v>&lt; $10</v>
      </c>
    </row>
    <row r="285" spans="1:10" x14ac:dyDescent="0.35">
      <c r="A285" t="s">
        <v>1773</v>
      </c>
      <c r="B285" t="s">
        <v>1774</v>
      </c>
      <c r="C285">
        <v>7.4900000000000001E-3</v>
      </c>
      <c r="D285" t="s">
        <v>1776</v>
      </c>
      <c r="E285" t="s">
        <v>1777</v>
      </c>
      <c r="F285" t="s">
        <v>1778</v>
      </c>
      <c r="G285" t="s">
        <v>1779</v>
      </c>
      <c r="H285">
        <f t="shared" si="12"/>
        <v>7.3373824451410663E-3</v>
      </c>
      <c r="I285">
        <f t="shared" si="13"/>
        <v>1.5261755485893383E-4</v>
      </c>
      <c r="J285" t="str">
        <f t="shared" si="14"/>
        <v>&lt; $10</v>
      </c>
    </row>
    <row r="286" spans="1:10" x14ac:dyDescent="0.35">
      <c r="A286" t="s">
        <v>1780</v>
      </c>
      <c r="B286" t="s">
        <v>1781</v>
      </c>
      <c r="C286">
        <v>0.25850000000000001</v>
      </c>
      <c r="D286" t="s">
        <v>129</v>
      </c>
      <c r="E286" t="s">
        <v>1783</v>
      </c>
      <c r="F286" t="s">
        <v>1784</v>
      </c>
      <c r="G286" t="s">
        <v>1785</v>
      </c>
      <c r="H286">
        <f t="shared" si="12"/>
        <v>0.25683060109289618</v>
      </c>
      <c r="I286">
        <f t="shared" si="13"/>
        <v>1.6693989071038251E-3</v>
      </c>
      <c r="J286" t="str">
        <f t="shared" si="14"/>
        <v>&lt; $10</v>
      </c>
    </row>
    <row r="287" spans="1:10" x14ac:dyDescent="0.35">
      <c r="A287" t="s">
        <v>1786</v>
      </c>
      <c r="B287" t="s">
        <v>1787</v>
      </c>
      <c r="C287">
        <v>1.966E-2</v>
      </c>
      <c r="D287" t="s">
        <v>1789</v>
      </c>
      <c r="E287" t="s">
        <v>1790</v>
      </c>
      <c r="F287" t="s">
        <v>1791</v>
      </c>
      <c r="G287" t="s">
        <v>1792</v>
      </c>
      <c r="H287">
        <f t="shared" si="12"/>
        <v>1.9587526153233038E-2</v>
      </c>
      <c r="I287">
        <f t="shared" si="13"/>
        <v>7.2473846766962086E-5</v>
      </c>
      <c r="J287" t="str">
        <f t="shared" si="14"/>
        <v>&lt; $10</v>
      </c>
    </row>
    <row r="288" spans="1:10" x14ac:dyDescent="0.35">
      <c r="A288" t="s">
        <v>1793</v>
      </c>
      <c r="B288" t="s">
        <v>1794</v>
      </c>
      <c r="C288">
        <v>420.34</v>
      </c>
      <c r="D288" t="s">
        <v>31</v>
      </c>
      <c r="E288" t="s">
        <v>1796</v>
      </c>
      <c r="F288" t="s">
        <v>637</v>
      </c>
      <c r="G288" t="s">
        <v>1797</v>
      </c>
      <c r="H288">
        <f t="shared" si="12"/>
        <v>420.34</v>
      </c>
      <c r="I288">
        <f t="shared" si="13"/>
        <v>0</v>
      </c>
      <c r="J288" t="str">
        <f t="shared" si="14"/>
        <v>&gt;= $10</v>
      </c>
    </row>
    <row r="289" spans="1:10" x14ac:dyDescent="0.35">
      <c r="A289" t="s">
        <v>1798</v>
      </c>
      <c r="B289" t="s">
        <v>1799</v>
      </c>
      <c r="C289">
        <v>1.3600000000000001E-3</v>
      </c>
      <c r="D289" t="s">
        <v>315</v>
      </c>
      <c r="E289" t="s">
        <v>1801</v>
      </c>
      <c r="F289" t="s">
        <v>1802</v>
      </c>
      <c r="G289" t="s">
        <v>1576</v>
      </c>
      <c r="H289">
        <f t="shared" si="12"/>
        <v>1.3476020610384463E-3</v>
      </c>
      <c r="I289">
        <f t="shared" si="13"/>
        <v>1.2397938961553837E-5</v>
      </c>
      <c r="J289" t="str">
        <f t="shared" si="14"/>
        <v>&lt; $10</v>
      </c>
    </row>
    <row r="290" spans="1:10" x14ac:dyDescent="0.35">
      <c r="A290" t="s">
        <v>1803</v>
      </c>
      <c r="B290" t="s">
        <v>1804</v>
      </c>
      <c r="C290">
        <v>8.7609999999999999E-4</v>
      </c>
      <c r="D290" t="s">
        <v>31</v>
      </c>
      <c r="E290" t="s">
        <v>1806</v>
      </c>
      <c r="F290" t="s">
        <v>637</v>
      </c>
      <c r="G290" t="s">
        <v>1807</v>
      </c>
      <c r="H290">
        <f t="shared" si="12"/>
        <v>8.7609999999999999E-4</v>
      </c>
      <c r="I290">
        <f t="shared" si="13"/>
        <v>0</v>
      </c>
      <c r="J290" t="str">
        <f t="shared" si="14"/>
        <v>&lt; $10</v>
      </c>
    </row>
    <row r="291" spans="1:10" x14ac:dyDescent="0.35">
      <c r="A291" t="s">
        <v>1808</v>
      </c>
      <c r="B291" t="s">
        <v>1809</v>
      </c>
      <c r="C291">
        <v>2.4780000000000002E-3</v>
      </c>
      <c r="D291" t="s">
        <v>10</v>
      </c>
      <c r="E291" t="s">
        <v>1811</v>
      </c>
      <c r="F291" t="s">
        <v>1812</v>
      </c>
      <c r="G291" t="s">
        <v>1813</v>
      </c>
      <c r="H291">
        <f t="shared" si="12"/>
        <v>2.4765140915450731E-3</v>
      </c>
      <c r="I291">
        <f t="shared" si="13"/>
        <v>1.4859084549270242E-6</v>
      </c>
      <c r="J291" t="str">
        <f t="shared" si="14"/>
        <v>&lt; $10</v>
      </c>
    </row>
    <row r="292" spans="1:10" x14ac:dyDescent="0.35">
      <c r="A292" t="s">
        <v>1814</v>
      </c>
      <c r="B292" t="s">
        <v>1815</v>
      </c>
      <c r="C292">
        <v>5.3959999999999998E-3</v>
      </c>
      <c r="D292" t="s">
        <v>83</v>
      </c>
      <c r="E292" t="s">
        <v>1817</v>
      </c>
      <c r="F292" t="s">
        <v>1818</v>
      </c>
      <c r="G292" t="s">
        <v>1819</v>
      </c>
      <c r="H292">
        <f t="shared" si="12"/>
        <v>5.3793240953045555E-3</v>
      </c>
      <c r="I292">
        <f t="shared" si="13"/>
        <v>1.6675904695444277E-5</v>
      </c>
      <c r="J292" t="str">
        <f t="shared" si="14"/>
        <v>&lt; $10</v>
      </c>
    </row>
    <row r="293" spans="1:10" x14ac:dyDescent="0.35">
      <c r="A293" t="s">
        <v>1820</v>
      </c>
      <c r="B293" t="s">
        <v>1821</v>
      </c>
      <c r="C293">
        <v>1.354E-3</v>
      </c>
      <c r="D293" t="s">
        <v>1789</v>
      </c>
      <c r="E293" t="s">
        <v>1823</v>
      </c>
      <c r="F293" t="s">
        <v>1824</v>
      </c>
      <c r="G293" t="s">
        <v>1825</v>
      </c>
      <c r="H293">
        <f t="shared" si="12"/>
        <v>1.3490086679286638E-3</v>
      </c>
      <c r="I293">
        <f t="shared" si="13"/>
        <v>4.9913320713361204E-6</v>
      </c>
      <c r="J293" t="str">
        <f t="shared" si="14"/>
        <v>&lt; $10</v>
      </c>
    </row>
    <row r="294" spans="1:10" x14ac:dyDescent="0.35">
      <c r="A294" t="s">
        <v>1826</v>
      </c>
      <c r="B294" t="s">
        <v>1827</v>
      </c>
      <c r="C294">
        <v>1.3470000000000001E-3</v>
      </c>
      <c r="D294" t="s">
        <v>31</v>
      </c>
      <c r="E294" t="s">
        <v>1829</v>
      </c>
      <c r="F294" t="s">
        <v>1830</v>
      </c>
      <c r="G294" t="s">
        <v>597</v>
      </c>
      <c r="H294">
        <f t="shared" si="12"/>
        <v>1.3470000000000001E-3</v>
      </c>
      <c r="I294">
        <f t="shared" si="13"/>
        <v>0</v>
      </c>
      <c r="J294" t="str">
        <f t="shared" si="14"/>
        <v>&lt; $10</v>
      </c>
    </row>
    <row r="295" spans="1:10" x14ac:dyDescent="0.35">
      <c r="A295" t="s">
        <v>1831</v>
      </c>
      <c r="B295" t="s">
        <v>1832</v>
      </c>
      <c r="C295">
        <v>0.71079999999999999</v>
      </c>
      <c r="D295" t="s">
        <v>56</v>
      </c>
      <c r="E295" t="s">
        <v>1834</v>
      </c>
      <c r="F295" t="s">
        <v>1835</v>
      </c>
      <c r="G295" t="s">
        <v>1836</v>
      </c>
      <c r="H295">
        <f t="shared" si="12"/>
        <v>0.70684168655529034</v>
      </c>
      <c r="I295">
        <f t="shared" si="13"/>
        <v>3.9583134447096491E-3</v>
      </c>
      <c r="J295" t="str">
        <f t="shared" si="14"/>
        <v>&lt; $10</v>
      </c>
    </row>
    <row r="296" spans="1:10" x14ac:dyDescent="0.35">
      <c r="A296" t="s">
        <v>1837</v>
      </c>
      <c r="B296" t="s">
        <v>1838</v>
      </c>
      <c r="C296">
        <v>1.3439999999999999E-3</v>
      </c>
      <c r="D296" t="s">
        <v>322</v>
      </c>
      <c r="E296" t="s">
        <v>1840</v>
      </c>
      <c r="F296" t="s">
        <v>1841</v>
      </c>
      <c r="G296" t="s">
        <v>1842</v>
      </c>
      <c r="H296">
        <f t="shared" si="12"/>
        <v>1.3393124065769805E-3</v>
      </c>
      <c r="I296">
        <f t="shared" si="13"/>
        <v>4.6875934230194548E-6</v>
      </c>
      <c r="J296" t="str">
        <f t="shared" si="14"/>
        <v>&lt; $10</v>
      </c>
    </row>
    <row r="297" spans="1:10" x14ac:dyDescent="0.35">
      <c r="A297" t="s">
        <v>1843</v>
      </c>
      <c r="B297" t="s">
        <v>1844</v>
      </c>
      <c r="C297">
        <v>5.0899999999999999E-3</v>
      </c>
      <c r="D297" t="s">
        <v>397</v>
      </c>
      <c r="E297" t="s">
        <v>1846</v>
      </c>
      <c r="F297" t="s">
        <v>1847</v>
      </c>
      <c r="G297" t="s">
        <v>1848</v>
      </c>
      <c r="H297">
        <f t="shared" si="12"/>
        <v>5.088473457962611E-3</v>
      </c>
      <c r="I297">
        <f t="shared" si="13"/>
        <v>1.5265420373888894E-6</v>
      </c>
      <c r="J297" t="str">
        <f t="shared" si="14"/>
        <v>&lt; $10</v>
      </c>
    </row>
    <row r="298" spans="1:10" x14ac:dyDescent="0.35">
      <c r="A298" t="s">
        <v>1849</v>
      </c>
      <c r="B298" t="s">
        <v>1850</v>
      </c>
      <c r="C298">
        <v>1.78</v>
      </c>
      <c r="D298" t="s">
        <v>31</v>
      </c>
      <c r="E298" t="s">
        <v>1852</v>
      </c>
      <c r="F298" t="s">
        <v>1853</v>
      </c>
      <c r="G298" t="s">
        <v>1854</v>
      </c>
      <c r="H298">
        <f t="shared" si="12"/>
        <v>1.78</v>
      </c>
      <c r="I298">
        <f t="shared" si="13"/>
        <v>0</v>
      </c>
      <c r="J298" t="str">
        <f t="shared" si="14"/>
        <v>&lt; $10</v>
      </c>
    </row>
    <row r="299" spans="1:10" x14ac:dyDescent="0.35">
      <c r="A299" t="s">
        <v>1855</v>
      </c>
      <c r="B299" t="s">
        <v>1856</v>
      </c>
      <c r="C299">
        <v>1.34E-3</v>
      </c>
      <c r="D299" t="s">
        <v>629</v>
      </c>
      <c r="E299" t="s">
        <v>1858</v>
      </c>
      <c r="F299" t="s">
        <v>1859</v>
      </c>
      <c r="G299" t="s">
        <v>1860</v>
      </c>
      <c r="H299">
        <f t="shared" si="12"/>
        <v>1.3342626705167779E-3</v>
      </c>
      <c r="I299">
        <f t="shared" si="13"/>
        <v>5.737329483222189E-6</v>
      </c>
      <c r="J299" t="str">
        <f t="shared" si="14"/>
        <v>&lt; $10</v>
      </c>
    </row>
    <row r="300" spans="1:10" x14ac:dyDescent="0.35">
      <c r="A300" t="s">
        <v>1861</v>
      </c>
      <c r="B300" t="s">
        <v>1862</v>
      </c>
      <c r="C300">
        <v>0.65690000000000004</v>
      </c>
      <c r="D300" t="s">
        <v>1366</v>
      </c>
      <c r="E300" t="s">
        <v>1864</v>
      </c>
      <c r="F300" t="s">
        <v>1865</v>
      </c>
      <c r="G300" t="s">
        <v>1866</v>
      </c>
      <c r="H300">
        <f t="shared" si="12"/>
        <v>0.64585586471340095</v>
      </c>
      <c r="I300">
        <f t="shared" si="13"/>
        <v>1.1044135286599088E-2</v>
      </c>
      <c r="J300" t="str">
        <f t="shared" si="14"/>
        <v>&lt; $10</v>
      </c>
    </row>
    <row r="301" spans="1:10" x14ac:dyDescent="0.35">
      <c r="A301" t="s">
        <v>1867</v>
      </c>
      <c r="B301" t="s">
        <v>1868</v>
      </c>
      <c r="C301">
        <v>1.6990000000000002E-2</v>
      </c>
      <c r="D301" t="s">
        <v>49</v>
      </c>
      <c r="E301" t="s">
        <v>1870</v>
      </c>
      <c r="F301" t="s">
        <v>1871</v>
      </c>
      <c r="G301" t="s">
        <v>1872</v>
      </c>
      <c r="H301">
        <f t="shared" si="12"/>
        <v>1.6988301169883015E-2</v>
      </c>
      <c r="I301">
        <f t="shared" si="13"/>
        <v>1.6988301169869324E-6</v>
      </c>
      <c r="J301" t="str">
        <f t="shared" si="14"/>
        <v>&lt; $10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7EDAD61-2A9F-4577-BE52-5E4E7FBCD1F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charted</vt:lpstr>
      <vt:lpstr>Added_data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Gokila krishna B</cp:lastModifiedBy>
  <dcterms:created xsi:type="dcterms:W3CDTF">2025-12-21T11:07:15Z</dcterms:created>
  <dcterms:modified xsi:type="dcterms:W3CDTF">2025-12-26T10:15:10Z</dcterms:modified>
</cp:coreProperties>
</file>