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47efdf7acb267deb/Documents/Desktop/Crypo Analysis Project/"/>
    </mc:Choice>
  </mc:AlternateContent>
  <xr:revisionPtr revIDLastSave="0" documentId="8_{6ED0301B-9E6E-4A93-B667-C0AC0D0E7D52}" xr6:coauthVersionLast="47" xr6:coauthVersionMax="47" xr10:uidLastSave="{00000000-0000-0000-0000-000000000000}"/>
  <bookViews>
    <workbookView xWindow="-110" yWindow="-110" windowWidth="19420" windowHeight="10300" firstSheet="1" activeTab="3" xr2:uid="{00000000-000D-0000-FFFF-FFFF00000000}"/>
  </bookViews>
  <sheets>
    <sheet name="Raw_Data" sheetId="1" r:id="rId1"/>
    <sheet name="Cleaned_Data" sheetId="3" r:id="rId2"/>
    <sheet name="pivot_charts" sheetId="4" r:id="rId3"/>
    <sheet name="Dashboard" sheetId="5" r:id="rId4"/>
  </sheets>
  <definedNames>
    <definedName name="Cleaned_Data" localSheetId="1" hidden="1">Cleaned_Data!$A$1:$H$290</definedName>
    <definedName name="Slicer_Price_Rang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1" i="4" l="1"/>
  <c r="M49" i="4"/>
  <c r="O12" i="4"/>
  <c r="P12" i="4"/>
  <c r="P13" i="4"/>
  <c r="P14" i="4"/>
  <c r="P15" i="4"/>
  <c r="P16" i="4"/>
  <c r="O13" i="4"/>
  <c r="O14" i="4"/>
  <c r="O15" i="4"/>
  <c r="O16" i="4"/>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P10" i="4"/>
  <c r="P1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1E9D05-EDB3-440C-A934-36D46F9CFD57}" sourceFile="C:\Users\gokil\OneDrive\Documents\Desktop\Cleaned_Data.xlsx" keepAlive="1" name="Cleaned_Data" type="5" refreshedVersion="8" background="1" saveData="1">
    <dbPr connection="Provider=Microsoft.ACE.OLEDB.12.0;User ID=Admin;Data Source=C:\Users\gokil\OneDrive\Documents\Desktop\Cleaned_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leaned_Data$" commandType="3"/>
  </connection>
</connections>
</file>

<file path=xl/sharedStrings.xml><?xml version="1.0" encoding="utf-8"?>
<sst xmlns="http://schemas.openxmlformats.org/spreadsheetml/2006/main" count="3376" uniqueCount="1892">
  <si>
    <t>Coin Name</t>
  </si>
  <si>
    <t>Symbol</t>
  </si>
  <si>
    <t>Price (USD)</t>
  </si>
  <si>
    <t>1h Change (%)</t>
  </si>
  <si>
    <t>Market Cap</t>
  </si>
  <si>
    <t>Volume (24h) USD</t>
  </si>
  <si>
    <t>Circulating Supply</t>
  </si>
  <si>
    <t>CoinMarketCap 20 Index DTF</t>
  </si>
  <si>
    <t>CMC20</t>
  </si>
  <si>
    <t>$186.71</t>
  </si>
  <si>
    <t>0.06%</t>
  </si>
  <si>
    <t>$6,385,658</t>
  </si>
  <si>
    <t>$1,095,928</t>
  </si>
  <si>
    <t>34.19K</t>
  </si>
  <si>
    <t>Bitcoin</t>
  </si>
  <si>
    <t>BTC</t>
  </si>
  <si>
    <t>$88,617.76</t>
  </si>
  <si>
    <t>0.25%</t>
  </si>
  <si>
    <t>$1,769,018,049,912</t>
  </si>
  <si>
    <t>$15,900,106,528</t>
  </si>
  <si>
    <t>19.96M</t>
  </si>
  <si>
    <t>Ethereum</t>
  </si>
  <si>
    <t>ETH</t>
  </si>
  <si>
    <t>$2,995.26</t>
  </si>
  <si>
    <t>0.21%</t>
  </si>
  <si>
    <t>$361,423,587,738</t>
  </si>
  <si>
    <t>$8,206,517,127</t>
  </si>
  <si>
    <t>120.69M</t>
  </si>
  <si>
    <t>Tether</t>
  </si>
  <si>
    <t>USDT</t>
  </si>
  <si>
    <t>$0.9996</t>
  </si>
  <si>
    <t>0.00%</t>
  </si>
  <si>
    <t>$186,753,660,259</t>
  </si>
  <si>
    <t>$49,537,630,315</t>
  </si>
  <si>
    <t>186.82B</t>
  </si>
  <si>
    <t>BNB</t>
  </si>
  <si>
    <t>$855.25</t>
  </si>
  <si>
    <t>0.17%</t>
  </si>
  <si>
    <t>$117,794,143,481</t>
  </si>
  <si>
    <t>$1,382,355,356</t>
  </si>
  <si>
    <t>137.73M</t>
  </si>
  <si>
    <t>XRP</t>
  </si>
  <si>
    <t>$1.93</t>
  </si>
  <si>
    <t>0.69%</t>
  </si>
  <si>
    <t>$117,071,294,680</t>
  </si>
  <si>
    <t>$2,414,665,365</t>
  </si>
  <si>
    <t>60.57B</t>
  </si>
  <si>
    <t>USDC</t>
  </si>
  <si>
    <t>$0.9997</t>
  </si>
  <si>
    <t>0.01%</t>
  </si>
  <si>
    <t>$77,041,970,766</t>
  </si>
  <si>
    <t>$4,090,327,607</t>
  </si>
  <si>
    <t>77.06B</t>
  </si>
  <si>
    <t>Solana</t>
  </si>
  <si>
    <t>SOL</t>
  </si>
  <si>
    <t>$125.68</t>
  </si>
  <si>
    <t>0.56%</t>
  </si>
  <si>
    <t>$70,670,265,414</t>
  </si>
  <si>
    <t>$1,789,456,574</t>
  </si>
  <si>
    <t>562.29M</t>
  </si>
  <si>
    <t>TRON</t>
  </si>
  <si>
    <t>TRX</t>
  </si>
  <si>
    <t>$0.2851</t>
  </si>
  <si>
    <t>$27,003,517,160</t>
  </si>
  <si>
    <t>$446,524,909</t>
  </si>
  <si>
    <t>94.68B</t>
  </si>
  <si>
    <t>Dogecoin</t>
  </si>
  <si>
    <t>DOGE</t>
  </si>
  <si>
    <t>$0.1318</t>
  </si>
  <si>
    <t>0.80%</t>
  </si>
  <si>
    <t>$22,142,131,632</t>
  </si>
  <si>
    <t>$518,471,540</t>
  </si>
  <si>
    <t>167.98B</t>
  </si>
  <si>
    <t>Cardano</t>
  </si>
  <si>
    <t>ADA</t>
  </si>
  <si>
    <t>$0.3703</t>
  </si>
  <si>
    <t>0.86%</t>
  </si>
  <si>
    <t>$13,306,597,136</t>
  </si>
  <si>
    <t>$333,761,113</t>
  </si>
  <si>
    <t>35.92B</t>
  </si>
  <si>
    <t>Bitcoin Cash</t>
  </si>
  <si>
    <t>BCH</t>
  </si>
  <si>
    <t>$586.88</t>
  </si>
  <si>
    <t>0.31%</t>
  </si>
  <si>
    <t>$11,719,903,275</t>
  </si>
  <si>
    <t>$294,129,073</t>
  </si>
  <si>
    <t>Chainlink</t>
  </si>
  <si>
    <t>LINK</t>
  </si>
  <si>
    <t>$12.58</t>
  </si>
  <si>
    <t>0.72%</t>
  </si>
  <si>
    <t>$8,911,264,583</t>
  </si>
  <si>
    <t>$264,909,841</t>
  </si>
  <si>
    <t>708.09M</t>
  </si>
  <si>
    <t>Monero</t>
  </si>
  <si>
    <t>XMR</t>
  </si>
  <si>
    <t>$469.29</t>
  </si>
  <si>
    <t>0.94%</t>
  </si>
  <si>
    <t>$8,657,043,978</t>
  </si>
  <si>
    <t>$213,444,264</t>
  </si>
  <si>
    <t>18.44M</t>
  </si>
  <si>
    <t>Hyperliquid</t>
  </si>
  <si>
    <t>HYPE</t>
  </si>
  <si>
    <t>$24.21</t>
  </si>
  <si>
    <t>0.55%</t>
  </si>
  <si>
    <t>$8,152,825,164</t>
  </si>
  <si>
    <t>$151,858,829</t>
  </si>
  <si>
    <t>336.68M</t>
  </si>
  <si>
    <t>The Graph</t>
  </si>
  <si>
    <t>GRT</t>
  </si>
  <si>
    <t>$0.03718</t>
  </si>
  <si>
    <t>$396,283,095</t>
  </si>
  <si>
    <t>$12,502,267</t>
  </si>
  <si>
    <t>10.65B</t>
  </si>
  <si>
    <t>JUST</t>
  </si>
  <si>
    <t>JST</t>
  </si>
  <si>
    <t>$0.03990</t>
  </si>
  <si>
    <t>0.14%</t>
  </si>
  <si>
    <t>$395,100,959</t>
  </si>
  <si>
    <t>$27,177,132</t>
  </si>
  <si>
    <t>9.9B</t>
  </si>
  <si>
    <t>BitTorrent [New]</t>
  </si>
  <si>
    <t>BTT</t>
  </si>
  <si>
    <t>$0.063966</t>
  </si>
  <si>
    <t>0.18%</t>
  </si>
  <si>
    <t>$391,089,084</t>
  </si>
  <si>
    <t>$10,638,334</t>
  </si>
  <si>
    <t>986.06T</t>
  </si>
  <si>
    <t>FLOKI</t>
  </si>
  <si>
    <t>$0.00004097</t>
  </si>
  <si>
    <t>0.65%</t>
  </si>
  <si>
    <t>$390,942,713</t>
  </si>
  <si>
    <t>$20,456,716</t>
  </si>
  <si>
    <t>9.54T</t>
  </si>
  <si>
    <t>Sun [New]</t>
  </si>
  <si>
    <t>SUN</t>
  </si>
  <si>
    <t>$0.02021</t>
  </si>
  <si>
    <t>0.12%</t>
  </si>
  <si>
    <t>$387,986,393</t>
  </si>
  <si>
    <t>$17,850,726</t>
  </si>
  <si>
    <t>19.18B</t>
  </si>
  <si>
    <t>Chiliz</t>
  </si>
  <si>
    <t>CHZ</t>
  </si>
  <si>
    <t>$0.03714</t>
  </si>
  <si>
    <t>2.43%</t>
  </si>
  <si>
    <t>$377,832,305</t>
  </si>
  <si>
    <t>$129,423,812</t>
  </si>
  <si>
    <t>10.17B</t>
  </si>
  <si>
    <t>Maple Finance</t>
  </si>
  <si>
    <t>SYRUP</t>
  </si>
  <si>
    <t>$0.3291</t>
  </si>
  <si>
    <t>0.60%</t>
  </si>
  <si>
    <t>$376,034,713</t>
  </si>
  <si>
    <t>$27,336,461</t>
  </si>
  <si>
    <t>1.14B</t>
  </si>
  <si>
    <t>DoubleZero</t>
  </si>
  <si>
    <t>2Z</t>
  </si>
  <si>
    <t>$0.1080</t>
  </si>
  <si>
    <t>0.91%</t>
  </si>
  <si>
    <t>$375,067,798</t>
  </si>
  <si>
    <t>$9,957,726</t>
  </si>
  <si>
    <t>3.47B</t>
  </si>
  <si>
    <t>IOTA</t>
  </si>
  <si>
    <t>$0.08924</t>
  </si>
  <si>
    <t>$374,367,380</t>
  </si>
  <si>
    <t>$9,083,545</t>
  </si>
  <si>
    <t>4.19B</t>
  </si>
  <si>
    <t>Bitcoin SV</t>
  </si>
  <si>
    <t>BSV</t>
  </si>
  <si>
    <t>$18.70</t>
  </si>
  <si>
    <t>0.27%</t>
  </si>
  <si>
    <t>$373,513,513</t>
  </si>
  <si>
    <t>$10,885,014</t>
  </si>
  <si>
    <t>Kaia</t>
  </si>
  <si>
    <t>KAIA</t>
  </si>
  <si>
    <t>$0.05999</t>
  </si>
  <si>
    <t>$371,881,052</t>
  </si>
  <si>
    <t>$16,546,673</t>
  </si>
  <si>
    <t>6.19B</t>
  </si>
  <si>
    <t>Ethereum Name Service</t>
  </si>
  <si>
    <t>ENS</t>
  </si>
  <si>
    <t>$9.68</t>
  </si>
  <si>
    <t>0.64%</t>
  </si>
  <si>
    <t>$369,793,963</t>
  </si>
  <si>
    <t>$18,934,587</t>
  </si>
  <si>
    <t>38.19M</t>
  </si>
  <si>
    <t>Conflux</t>
  </si>
  <si>
    <t>CFX</t>
  </si>
  <si>
    <t>$0.07133</t>
  </si>
  <si>
    <t>1.02%</t>
  </si>
  <si>
    <t>$368,504,918</t>
  </si>
  <si>
    <t>$11,229,707</t>
  </si>
  <si>
    <t>5.16B</t>
  </si>
  <si>
    <t>Trust Wallet Token</t>
  </si>
  <si>
    <t>TWT</t>
  </si>
  <si>
    <t>$0.8369</t>
  </si>
  <si>
    <t>0.36%</t>
  </si>
  <si>
    <t>$359,773,572</t>
  </si>
  <si>
    <t>$15,589,502</t>
  </si>
  <si>
    <t>429.86M</t>
  </si>
  <si>
    <t>AINFT</t>
  </si>
  <si>
    <t>NFT</t>
  </si>
  <si>
    <t>$0.063516</t>
  </si>
  <si>
    <t>$351,671,089</t>
  </si>
  <si>
    <t>$18,785,205</t>
  </si>
  <si>
    <t>999.99T</t>
  </si>
  <si>
    <t>Rain</t>
  </si>
  <si>
    <t>RAIN</t>
  </si>
  <si>
    <t>$0.007632</t>
  </si>
  <si>
    <t>$2,591,576,160</t>
  </si>
  <si>
    <t>$25,925,939</t>
  </si>
  <si>
    <t>339.53B</t>
  </si>
  <si>
    <t>Falcon USD</t>
  </si>
  <si>
    <t>USDf</t>
  </si>
  <si>
    <t>$0.9977</t>
  </si>
  <si>
    <t>$2,106,884,484</t>
  </si>
  <si>
    <t>$584,085</t>
  </si>
  <si>
    <t>2.11B</t>
  </si>
  <si>
    <t>Jupiter Perps LP</t>
  </si>
  <si>
    <t>JLP</t>
  </si>
  <si>
    <t>$4.53</t>
  </si>
  <si>
    <t>0.24%</t>
  </si>
  <si>
    <t>$1,535,961,932</t>
  </si>
  <si>
    <t>$14,587,641</t>
  </si>
  <si>
    <t>338.43M</t>
  </si>
  <si>
    <t>Beldex</t>
  </si>
  <si>
    <t>BDX</t>
  </si>
  <si>
    <t>$0.09753</t>
  </si>
  <si>
    <t>1.53%</t>
  </si>
  <si>
    <t>$729,098,862</t>
  </si>
  <si>
    <t>$10,825,041</t>
  </si>
  <si>
    <t>7.47B</t>
  </si>
  <si>
    <t>Ondo US Dollar Yield</t>
  </si>
  <si>
    <t>USDY</t>
  </si>
  <si>
    <t>$1.11</t>
  </si>
  <si>
    <t>$695,165,286</t>
  </si>
  <si>
    <t>$1,491,792</t>
  </si>
  <si>
    <t>622.76M</t>
  </si>
  <si>
    <t>Fasttoken</t>
  </si>
  <si>
    <t>FTN</t>
  </si>
  <si>
    <t>$1.39</t>
  </si>
  <si>
    <t>$610,617,101</t>
  </si>
  <si>
    <t>$14,824,547</t>
  </si>
  <si>
    <t>436.26M</t>
  </si>
  <si>
    <t>Usual USD</t>
  </si>
  <si>
    <t>USD0</t>
  </si>
  <si>
    <t>$0.9982</t>
  </si>
  <si>
    <t>$562,841,704</t>
  </si>
  <si>
    <t>$360,034</t>
  </si>
  <si>
    <t>563.83M</t>
  </si>
  <si>
    <t>USDai</t>
  </si>
  <si>
    <t>USDAI</t>
  </si>
  <si>
    <t>$1.00</t>
  </si>
  <si>
    <t>$501,660,920</t>
  </si>
  <si>
    <t>$0</t>
  </si>
  <si>
    <t>501.35M</t>
  </si>
  <si>
    <t>GHO</t>
  </si>
  <si>
    <t>$0.9994</t>
  </si>
  <si>
    <t>0.02%</t>
  </si>
  <si>
    <t>$494,983,038</t>
  </si>
  <si>
    <t>$112,416</t>
  </si>
  <si>
    <t>495.25M</t>
  </si>
  <si>
    <t>Legacy Frax Dollar</t>
  </si>
  <si>
    <t>FRAX</t>
  </si>
  <si>
    <t>$0.9941</t>
  </si>
  <si>
    <t>$278,706,336</t>
  </si>
  <si>
    <t>$185,066</t>
  </si>
  <si>
    <t>280.35M</t>
  </si>
  <si>
    <t>SwissBorg</t>
  </si>
  <si>
    <t>BORG</t>
  </si>
  <si>
    <t>$0.2706</t>
  </si>
  <si>
    <t>$265,798,946</t>
  </si>
  <si>
    <t>$206,045</t>
  </si>
  <si>
    <t>982.25M</t>
  </si>
  <si>
    <t>Zeebu</t>
  </si>
  <si>
    <t>ZBU</t>
  </si>
  <si>
    <t>$0.6012</t>
  </si>
  <si>
    <t>$248,711,592</t>
  </si>
  <si>
    <t>$162,903</t>
  </si>
  <si>
    <t>413.62M</t>
  </si>
  <si>
    <t>Ape and Pepe</t>
  </si>
  <si>
    <t>APEPE</t>
  </si>
  <si>
    <t>$0.051178</t>
  </si>
  <si>
    <t>0.09%</t>
  </si>
  <si>
    <t>$247,500,195</t>
  </si>
  <si>
    <t>$30,888,957</t>
  </si>
  <si>
    <t>210T</t>
  </si>
  <si>
    <t>Loaded Lions</t>
  </si>
  <si>
    <t>LION</t>
  </si>
  <si>
    <t>$0.006859</t>
  </si>
  <si>
    <t>$211,588,925</t>
  </si>
  <si>
    <t>$719,363</t>
  </si>
  <si>
    <t>30.84B</t>
  </si>
  <si>
    <t>WeFi</t>
  </si>
  <si>
    <t>WFI</t>
  </si>
  <si>
    <t>$2.67</t>
  </si>
  <si>
    <t>0.41%</t>
  </si>
  <si>
    <t>$203,655,032</t>
  </si>
  <si>
    <t>$2,180,013</t>
  </si>
  <si>
    <t>76.17M</t>
  </si>
  <si>
    <t>Popcat (SOL)</t>
  </si>
  <si>
    <t>POPCAT</t>
  </si>
  <si>
    <t>$0.08147</t>
  </si>
  <si>
    <t>0.99%</t>
  </si>
  <si>
    <t>$79,843,036</t>
  </si>
  <si>
    <t>$8,208,437</t>
  </si>
  <si>
    <t>979.97M</t>
  </si>
  <si>
    <t>MANTRA</t>
  </si>
  <si>
    <t>OM</t>
  </si>
  <si>
    <t>$0.06964</t>
  </si>
  <si>
    <t>0.47%</t>
  </si>
  <si>
    <t>$79,635,764</t>
  </si>
  <si>
    <t>$27,951,784</t>
  </si>
  <si>
    <t>Verge</t>
  </si>
  <si>
    <t>XVG</t>
  </si>
  <si>
    <t>$0.004810</t>
  </si>
  <si>
    <t>0.92%</t>
  </si>
  <si>
    <t>$79,478,245</t>
  </si>
  <si>
    <t>$4,045,300</t>
  </si>
  <si>
    <t>16.52B</t>
  </si>
  <si>
    <t>River</t>
  </si>
  <si>
    <t>RIVER</t>
  </si>
  <si>
    <t>$4.05</t>
  </si>
  <si>
    <t>0.35%</t>
  </si>
  <si>
    <t>$79,390,425</t>
  </si>
  <si>
    <t>$20,435,643</t>
  </si>
  <si>
    <t>19.6M</t>
  </si>
  <si>
    <t>XPR Network</t>
  </si>
  <si>
    <t>XPR</t>
  </si>
  <si>
    <t>$0.002808</t>
  </si>
  <si>
    <t>0.10%</t>
  </si>
  <si>
    <t>$79,288,970</t>
  </si>
  <si>
    <t>$2,515,229</t>
  </si>
  <si>
    <t>28.23B</t>
  </si>
  <si>
    <t>Snek</t>
  </si>
  <si>
    <t>SNEK</t>
  </si>
  <si>
    <t>$0.001054</t>
  </si>
  <si>
    <t>0.46%</t>
  </si>
  <si>
    <t>$78,874,838</t>
  </si>
  <si>
    <t>$3,614,454</t>
  </si>
  <si>
    <t>74.76B</t>
  </si>
  <si>
    <t>Loopring</t>
  </si>
  <si>
    <t>LRC</t>
  </si>
  <si>
    <t>$0.05754</t>
  </si>
  <si>
    <t>0.71%</t>
  </si>
  <si>
    <t>$78,721,990</t>
  </si>
  <si>
    <t>$13,802,540</t>
  </si>
  <si>
    <t>1.36B</t>
  </si>
  <si>
    <t>Non-Playable Coin</t>
  </si>
  <si>
    <t>NPC</t>
  </si>
  <si>
    <t>$0.01037</t>
  </si>
  <si>
    <t>0.48%</t>
  </si>
  <si>
    <t>$78,155,285</t>
  </si>
  <si>
    <t>$3,750,878</t>
  </si>
  <si>
    <t>7.53B</t>
  </si>
  <si>
    <t>Oasis</t>
  </si>
  <si>
    <t>ROSE</t>
  </si>
  <si>
    <t>$0.01040</t>
  </si>
  <si>
    <t>0.84%</t>
  </si>
  <si>
    <t>$77,913,243</t>
  </si>
  <si>
    <t>$1,812,441</t>
  </si>
  <si>
    <t>7.48B</t>
  </si>
  <si>
    <t>Drift</t>
  </si>
  <si>
    <t>DRIFT</t>
  </si>
  <si>
    <t>$0.1558</t>
  </si>
  <si>
    <t>0.76%</t>
  </si>
  <si>
    <t>$77,060,203</t>
  </si>
  <si>
    <t>$7,938,135</t>
  </si>
  <si>
    <t>494.54M</t>
  </si>
  <si>
    <t>EUR CoinVertible</t>
  </si>
  <si>
    <t>EURCV</t>
  </si>
  <si>
    <t>$1.17</t>
  </si>
  <si>
    <t>$76,986,337</t>
  </si>
  <si>
    <t>$4,555,095</t>
  </si>
  <si>
    <t>65.75M</t>
  </si>
  <si>
    <t>cat in a dogs world</t>
  </si>
  <si>
    <t>MEW</t>
  </si>
  <si>
    <t>$0.0008652</t>
  </si>
  <si>
    <t>1.00%</t>
  </si>
  <si>
    <t>$76,913,570</t>
  </si>
  <si>
    <t>$12,405,461</t>
  </si>
  <si>
    <t>88.88B</t>
  </si>
  <si>
    <t>Rekt (rekt.com)</t>
  </si>
  <si>
    <t>REKT</t>
  </si>
  <si>
    <t>$0.062742</t>
  </si>
  <si>
    <t>$76,834,825</t>
  </si>
  <si>
    <t>$447,796</t>
  </si>
  <si>
    <t>280.13T</t>
  </si>
  <si>
    <t>aelf</t>
  </si>
  <si>
    <t>ELF</t>
  </si>
  <si>
    <t>$0.09390</t>
  </si>
  <si>
    <t>1.18%</t>
  </si>
  <si>
    <t>$76,645,429</t>
  </si>
  <si>
    <t>$2,729,606</t>
  </si>
  <si>
    <t>816.17M</t>
  </si>
  <si>
    <t>Alchemy Pay</t>
  </si>
  <si>
    <t>ACH</t>
  </si>
  <si>
    <t>$0.007831</t>
  </si>
  <si>
    <t>0.03%</t>
  </si>
  <si>
    <t>$76,634,277</t>
  </si>
  <si>
    <t>$4,586,042</t>
  </si>
  <si>
    <t>9.78B</t>
  </si>
  <si>
    <t>Enjin Coin</t>
  </si>
  <si>
    <t>ENJ</t>
  </si>
  <si>
    <t>$0.02764</t>
  </si>
  <si>
    <t>0.61%</t>
  </si>
  <si>
    <t>$52,914,915</t>
  </si>
  <si>
    <t>$5,555,762</t>
  </si>
  <si>
    <t>1.91B</t>
  </si>
  <si>
    <t>Solayer</t>
  </si>
  <si>
    <t>LAYER</t>
  </si>
  <si>
    <t>$0.1692</t>
  </si>
  <si>
    <t>0.95%</t>
  </si>
  <si>
    <t>$52,882,038</t>
  </si>
  <si>
    <t>$9,820,133</t>
  </si>
  <si>
    <t>312.51M</t>
  </si>
  <si>
    <t>Harmony</t>
  </si>
  <si>
    <t>ONE</t>
  </si>
  <si>
    <t>$0.003558</t>
  </si>
  <si>
    <t>$52,657,130</t>
  </si>
  <si>
    <t>$4,008,415</t>
  </si>
  <si>
    <t>14.79B</t>
  </si>
  <si>
    <t>Infrared</t>
  </si>
  <si>
    <t>IR</t>
  </si>
  <si>
    <t>$0.2577</t>
  </si>
  <si>
    <t>10.08%</t>
  </si>
  <si>
    <t>$52,836,877</t>
  </si>
  <si>
    <t>$166,881,260</t>
  </si>
  <si>
    <t>205M</t>
  </si>
  <si>
    <t>Tokenlon Network Token</t>
  </si>
  <si>
    <t>LON</t>
  </si>
  <si>
    <t>$0.4234</t>
  </si>
  <si>
    <t>$52,548,578</t>
  </si>
  <si>
    <t>$16,913</t>
  </si>
  <si>
    <t>124.08M</t>
  </si>
  <si>
    <t>WOO</t>
  </si>
  <si>
    <t>$0.02773</t>
  </si>
  <si>
    <t>0.96%</t>
  </si>
  <si>
    <t>$52,537,357</t>
  </si>
  <si>
    <t>$12,248,565</t>
  </si>
  <si>
    <t>1.89B</t>
  </si>
  <si>
    <t>Tellor</t>
  </si>
  <si>
    <t>TRB</t>
  </si>
  <si>
    <t>$19.14</t>
  </si>
  <si>
    <t>0.78%</t>
  </si>
  <si>
    <t>$52,368,644</t>
  </si>
  <si>
    <t>$9,477,300</t>
  </si>
  <si>
    <t>2.73M</t>
  </si>
  <si>
    <t>Matrixdock Gold</t>
  </si>
  <si>
    <t>XAUM</t>
  </si>
  <si>
    <t>$4,356.10</t>
  </si>
  <si>
    <t>$52,353,793</t>
  </si>
  <si>
    <t>$120,938</t>
  </si>
  <si>
    <t>12.01K</t>
  </si>
  <si>
    <t>Doodles</t>
  </si>
  <si>
    <t>DOOD</t>
  </si>
  <si>
    <t>$0.006706</t>
  </si>
  <si>
    <t>5.49%</t>
  </si>
  <si>
    <t>$52,309,004</t>
  </si>
  <si>
    <t>$28,154,057</t>
  </si>
  <si>
    <t>7.8B</t>
  </si>
  <si>
    <t>BounceBit</t>
  </si>
  <si>
    <t>BB</t>
  </si>
  <si>
    <t>$0.05638</t>
  </si>
  <si>
    <t>1.23%</t>
  </si>
  <si>
    <t>$52,300,293</t>
  </si>
  <si>
    <t>$6,761,082</t>
  </si>
  <si>
    <t>927.62M</t>
  </si>
  <si>
    <t>VNDC</t>
  </si>
  <si>
    <t>$0.00003698</t>
  </si>
  <si>
    <t>$52,238,423</t>
  </si>
  <si>
    <t>$6,093,856</t>
  </si>
  <si>
    <t>1.41T</t>
  </si>
  <si>
    <t>SMART</t>
  </si>
  <si>
    <t>$0.007750</t>
  </si>
  <si>
    <t>0.11%</t>
  </si>
  <si>
    <t>$52,087,682</t>
  </si>
  <si>
    <t>$621,225</t>
  </si>
  <si>
    <t>6.72B</t>
  </si>
  <si>
    <t>Plume</t>
  </si>
  <si>
    <t>PLUME</t>
  </si>
  <si>
    <t>$0.01655</t>
  </si>
  <si>
    <t>1.77%</t>
  </si>
  <si>
    <t>$51,914,331</t>
  </si>
  <si>
    <t>$56,942,962</t>
  </si>
  <si>
    <t>3.13B</t>
  </si>
  <si>
    <t>siren</t>
  </si>
  <si>
    <t>SIREN</t>
  </si>
  <si>
    <t>$0.07104</t>
  </si>
  <si>
    <t>$51,784,517</t>
  </si>
  <si>
    <t>$11,686,775</t>
  </si>
  <si>
    <t>728.92M</t>
  </si>
  <si>
    <t>peaq</t>
  </si>
  <si>
    <t>PEAQ</t>
  </si>
  <si>
    <t>$0.03121</t>
  </si>
  <si>
    <t>1.27%</t>
  </si>
  <si>
    <t>$51,688,897</t>
  </si>
  <si>
    <t>$4,447,052</t>
  </si>
  <si>
    <t>1.65B</t>
  </si>
  <si>
    <t>OpenLedger</t>
  </si>
  <si>
    <t>OPEN</t>
  </si>
  <si>
    <t>$0.1761</t>
  </si>
  <si>
    <t>1.14%</t>
  </si>
  <si>
    <t>$37,963,403</t>
  </si>
  <si>
    <t>$8,807,387</t>
  </si>
  <si>
    <t>215.5M</t>
  </si>
  <si>
    <t>Derive</t>
  </si>
  <si>
    <t>DRV</t>
  </si>
  <si>
    <t>$0.05145</t>
  </si>
  <si>
    <t>$37,951,269</t>
  </si>
  <si>
    <t>$217,133</t>
  </si>
  <si>
    <t>737.52M</t>
  </si>
  <si>
    <t>deBridge</t>
  </si>
  <si>
    <t>DBR</t>
  </si>
  <si>
    <t>$0.01959</t>
  </si>
  <si>
    <t>0.40%</t>
  </si>
  <si>
    <t>$37,719,971</t>
  </si>
  <si>
    <t>$4,889,683</t>
  </si>
  <si>
    <t>1.92B</t>
  </si>
  <si>
    <t>Constellation</t>
  </si>
  <si>
    <t>DAG</t>
  </si>
  <si>
    <t>$0.01304</t>
  </si>
  <si>
    <t>$37,475,389</t>
  </si>
  <si>
    <t>$8,331,707</t>
  </si>
  <si>
    <t>2.87B</t>
  </si>
  <si>
    <t>Act I : The AI Prophecy</t>
  </si>
  <si>
    <t>ACT</t>
  </si>
  <si>
    <t>$0.03938</t>
  </si>
  <si>
    <t>2.79%</t>
  </si>
  <si>
    <t>$37,344,308</t>
  </si>
  <si>
    <t>$133,808,206</t>
  </si>
  <si>
    <t>948.24M</t>
  </si>
  <si>
    <t>HarryPotterObamaSonic10Inu (ERC-20)</t>
  </si>
  <si>
    <t>BITCOIN</t>
  </si>
  <si>
    <t>$0.03732</t>
  </si>
  <si>
    <t>0.39%</t>
  </si>
  <si>
    <t>$37,321,954</t>
  </si>
  <si>
    <t>$3,794,553</t>
  </si>
  <si>
    <t>999.79M</t>
  </si>
  <si>
    <t>Fractal Bitcoin</t>
  </si>
  <si>
    <t>FB</t>
  </si>
  <si>
    <t>$0.4069</t>
  </si>
  <si>
    <t>$37,236,360</t>
  </si>
  <si>
    <t>$2,801,939</t>
  </si>
  <si>
    <t>91.49M</t>
  </si>
  <si>
    <t>TerraClassicUSD</t>
  </si>
  <si>
    <t>USTC</t>
  </si>
  <si>
    <t>$0.006661</t>
  </si>
  <si>
    <t>1.08%</t>
  </si>
  <si>
    <t>$37,191,884</t>
  </si>
  <si>
    <t>$9,660,516</t>
  </si>
  <si>
    <t>5.58B</t>
  </si>
  <si>
    <t>AgentLISA</t>
  </si>
  <si>
    <t>LISA</t>
  </si>
  <si>
    <t>$0.1720</t>
  </si>
  <si>
    <t>1.32%</t>
  </si>
  <si>
    <t>$37,194,866</t>
  </si>
  <si>
    <t>$335,290,359</t>
  </si>
  <si>
    <t>216.22M</t>
  </si>
  <si>
    <t>Avici</t>
  </si>
  <si>
    <t>AVICI</t>
  </si>
  <si>
    <t>$2.88</t>
  </si>
  <si>
    <t>0.44%</t>
  </si>
  <si>
    <t>$37,194,605</t>
  </si>
  <si>
    <t>$2,504,670</t>
  </si>
  <si>
    <t>12.89M</t>
  </si>
  <si>
    <t>Metis</t>
  </si>
  <si>
    <t>METIS</t>
  </si>
  <si>
    <t>$5.44</t>
  </si>
  <si>
    <t>0.81%</t>
  </si>
  <si>
    <t>$37,123,485</t>
  </si>
  <si>
    <t>$4,761,259</t>
  </si>
  <si>
    <t>6.81M</t>
  </si>
  <si>
    <t>Corn</t>
  </si>
  <si>
    <t>CORN</t>
  </si>
  <si>
    <t>$0.07057</t>
  </si>
  <si>
    <t>0.20%</t>
  </si>
  <si>
    <t>$37,052,831</t>
  </si>
  <si>
    <t>$7,172,434</t>
  </si>
  <si>
    <t>525M</t>
  </si>
  <si>
    <t>Quack AI</t>
  </si>
  <si>
    <t>Q</t>
  </si>
  <si>
    <t>$0.01409</t>
  </si>
  <si>
    <t>$36,968,498</t>
  </si>
  <si>
    <t>$4,049,212</t>
  </si>
  <si>
    <t>2.62B</t>
  </si>
  <si>
    <t>Liquity</t>
  </si>
  <si>
    <t>LQTY</t>
  </si>
  <si>
    <t>$0.3868</t>
  </si>
  <si>
    <t>0.57%</t>
  </si>
  <si>
    <t>$36,948,795</t>
  </si>
  <si>
    <t>$4,091,513</t>
  </si>
  <si>
    <t>95.51M</t>
  </si>
  <si>
    <t>哈基米</t>
  </si>
  <si>
    <t>$0.03671</t>
  </si>
  <si>
    <t>3.19%</t>
  </si>
  <si>
    <t>$36,712,969</t>
  </si>
  <si>
    <t>$3,987,767</t>
  </si>
  <si>
    <t>1B</t>
  </si>
  <si>
    <t>Mango</t>
  </si>
  <si>
    <t>MNGO</t>
  </si>
  <si>
    <t>$0.02516</t>
  </si>
  <si>
    <t>11.86%</t>
  </si>
  <si>
    <t>$28,119,082</t>
  </si>
  <si>
    <t>$228,924</t>
  </si>
  <si>
    <t>1.11B</t>
  </si>
  <si>
    <t>Resolv</t>
  </si>
  <si>
    <t>RESOLV</t>
  </si>
  <si>
    <t>$0.08213</t>
  </si>
  <si>
    <t>3.32%</t>
  </si>
  <si>
    <t>$28,030,314</t>
  </si>
  <si>
    <t>$44,457,598</t>
  </si>
  <si>
    <t>341.26M</t>
  </si>
  <si>
    <t>MetaArena</t>
  </si>
  <si>
    <t>TIMI</t>
  </si>
  <si>
    <t>$0.07681</t>
  </si>
  <si>
    <t>0.05%</t>
  </si>
  <si>
    <t>$27,988,460</t>
  </si>
  <si>
    <t>$11,474,920</t>
  </si>
  <si>
    <t>364.35M</t>
  </si>
  <si>
    <t>Adshares</t>
  </si>
  <si>
    <t>ADS</t>
  </si>
  <si>
    <t>$0.7224</t>
  </si>
  <si>
    <t>0.16%</t>
  </si>
  <si>
    <t>$27,987,125</t>
  </si>
  <si>
    <t>$246,689</t>
  </si>
  <si>
    <t>38.74M</t>
  </si>
  <si>
    <t>Elastos</t>
  </si>
  <si>
    <t>ELA</t>
  </si>
  <si>
    <t>$1.20</t>
  </si>
  <si>
    <t>0.43%</t>
  </si>
  <si>
    <t>$27,755,771</t>
  </si>
  <si>
    <t>$747,728</t>
  </si>
  <si>
    <t>23.03M</t>
  </si>
  <si>
    <t>StrikeX</t>
  </si>
  <si>
    <t>STRX</t>
  </si>
  <si>
    <t>$0.03165</t>
  </si>
  <si>
    <t>$27,627,348</t>
  </si>
  <si>
    <t>N/A</t>
  </si>
  <si>
    <t>872.68M</t>
  </si>
  <si>
    <t>Chintai</t>
  </si>
  <si>
    <t>CHEX</t>
  </si>
  <si>
    <t>$0.02755</t>
  </si>
  <si>
    <t>$27,523,754</t>
  </si>
  <si>
    <t>$517,282</t>
  </si>
  <si>
    <t>998.92M</t>
  </si>
  <si>
    <t>Electronic USD</t>
  </si>
  <si>
    <t>eUSD</t>
  </si>
  <si>
    <t>$27,488,408</t>
  </si>
  <si>
    <t>$795</t>
  </si>
  <si>
    <t>27.49M</t>
  </si>
  <si>
    <t>DORA</t>
  </si>
  <si>
    <t>$0.02770</t>
  </si>
  <si>
    <t>$27,429,852</t>
  </si>
  <si>
    <t>$335,896</t>
  </si>
  <si>
    <t>990.08M</t>
  </si>
  <si>
    <t>Mira</t>
  </si>
  <si>
    <t>MIRA</t>
  </si>
  <si>
    <t>$0.1278</t>
  </si>
  <si>
    <t>1.40%</t>
  </si>
  <si>
    <t>$27,369,787</t>
  </si>
  <si>
    <t>$21,891,403</t>
  </si>
  <si>
    <t>214.02M</t>
  </si>
  <si>
    <t>B3 (Base)</t>
  </si>
  <si>
    <t>B3</t>
  </si>
  <si>
    <t>$0.0008708</t>
  </si>
  <si>
    <t>0.87%</t>
  </si>
  <si>
    <t>$27,319,469</t>
  </si>
  <si>
    <t>$1,830,097</t>
  </si>
  <si>
    <t>31.37B</t>
  </si>
  <si>
    <t>Ore</t>
  </si>
  <si>
    <t>ORE</t>
  </si>
  <si>
    <t>$65.61</t>
  </si>
  <si>
    <t>0.52%</t>
  </si>
  <si>
    <t>$27,270,904</t>
  </si>
  <si>
    <t>$875,162</t>
  </si>
  <si>
    <t>415.6K</t>
  </si>
  <si>
    <t>Orchid</t>
  </si>
  <si>
    <t>OXT</t>
  </si>
  <si>
    <t>$0.02726</t>
  </si>
  <si>
    <t>2.14%</t>
  </si>
  <si>
    <t>$27,189,900</t>
  </si>
  <si>
    <t>$13,350,372</t>
  </si>
  <si>
    <t>997.21M</t>
  </si>
  <si>
    <t>MediBloc</t>
  </si>
  <si>
    <t>MED</t>
  </si>
  <si>
    <t>$0.002547</t>
  </si>
  <si>
    <t>0.04%</t>
  </si>
  <si>
    <t>$27,118,205</t>
  </si>
  <si>
    <t>$1,104,839</t>
  </si>
  <si>
    <t>10.64B</t>
  </si>
  <si>
    <t>saffron.finance</t>
  </si>
  <si>
    <t>SFI</t>
  </si>
  <si>
    <t>$295.72</t>
  </si>
  <si>
    <t>$27,036,164</t>
  </si>
  <si>
    <t>$8,276</t>
  </si>
  <si>
    <t>91.42K</t>
  </si>
  <si>
    <t>Vulcan Forged (PYR)</t>
  </si>
  <si>
    <t>PYR</t>
  </si>
  <si>
    <t>$0.4737</t>
  </si>
  <si>
    <t>$21,288,910</t>
  </si>
  <si>
    <t>$3,537,872</t>
  </si>
  <si>
    <t>44.93M</t>
  </si>
  <si>
    <t>Ampleforth Governance Token</t>
  </si>
  <si>
    <t>FORTH</t>
  </si>
  <si>
    <t>$1.47</t>
  </si>
  <si>
    <t>0.73%</t>
  </si>
  <si>
    <t>$21,183,785</t>
  </si>
  <si>
    <t>$2,383,053</t>
  </si>
  <si>
    <t>14.34M</t>
  </si>
  <si>
    <t>Naoris Protocol</t>
  </si>
  <si>
    <t>NAORIS</t>
  </si>
  <si>
    <t>$0.03512</t>
  </si>
  <si>
    <t>$21,051,661</t>
  </si>
  <si>
    <t>$1,063,941</t>
  </si>
  <si>
    <t>599.26M</t>
  </si>
  <si>
    <t>Everlyn AI</t>
  </si>
  <si>
    <t>LYN</t>
  </si>
  <si>
    <t>$0.08225</t>
  </si>
  <si>
    <t>$21,028,312</t>
  </si>
  <si>
    <t>$2,355,636</t>
  </si>
  <si>
    <t>255.63M</t>
  </si>
  <si>
    <t>Limitless</t>
  </si>
  <si>
    <t>LMTS</t>
  </si>
  <si>
    <t>$0.1591</t>
  </si>
  <si>
    <t>$20,942,083</t>
  </si>
  <si>
    <t>$1,755,539</t>
  </si>
  <si>
    <t>131.59M</t>
  </si>
  <si>
    <t>Maverick Protocol</t>
  </si>
  <si>
    <t>MAV</t>
  </si>
  <si>
    <t>$0.02639</t>
  </si>
  <si>
    <t>$20,926,607</t>
  </si>
  <si>
    <t>$1,923,605</t>
  </si>
  <si>
    <t>792.71M</t>
  </si>
  <si>
    <t>Invesco QQQ Tokenized ETF (Ondo)</t>
  </si>
  <si>
    <t>QQQon</t>
  </si>
  <si>
    <t>$619.68</t>
  </si>
  <si>
    <t>$20,833,689</t>
  </si>
  <si>
    <t>$301,856</t>
  </si>
  <si>
    <t>33.61K</t>
  </si>
  <si>
    <t>Roam</t>
  </si>
  <si>
    <t>ROAM</t>
  </si>
  <si>
    <t>$0.06274</t>
  </si>
  <si>
    <t>$20,792,425</t>
  </si>
  <si>
    <t>$6,073,198</t>
  </si>
  <si>
    <t>331.38M</t>
  </si>
  <si>
    <t>Chainbase</t>
  </si>
  <si>
    <t>C</t>
  </si>
  <si>
    <t>$0.08458</t>
  </si>
  <si>
    <t>$20,783,563</t>
  </si>
  <si>
    <t>$4,249,210</t>
  </si>
  <si>
    <t>245.71M</t>
  </si>
  <si>
    <t>MAX Exchange Token</t>
  </si>
  <si>
    <t>MAX</t>
  </si>
  <si>
    <t>$0.3212</t>
  </si>
  <si>
    <t>$20,765,268</t>
  </si>
  <si>
    <t>$12,916</t>
  </si>
  <si>
    <t>64.63M</t>
  </si>
  <si>
    <t>Puffer</t>
  </si>
  <si>
    <t>PUFFER</t>
  </si>
  <si>
    <t>$0.05974</t>
  </si>
  <si>
    <t>1.05%</t>
  </si>
  <si>
    <t>$20,742,584</t>
  </si>
  <si>
    <t>$2,668,050</t>
  </si>
  <si>
    <t>347.18M</t>
  </si>
  <si>
    <t>Autonolas</t>
  </si>
  <si>
    <t>OLAS</t>
  </si>
  <si>
    <t>$0.08999</t>
  </si>
  <si>
    <t>$20,691,287</t>
  </si>
  <si>
    <t>$208,497</t>
  </si>
  <si>
    <t>229.91M</t>
  </si>
  <si>
    <t>Cetus Protocol</t>
  </si>
  <si>
    <t>CETUS</t>
  </si>
  <si>
    <t>$0.02336</t>
  </si>
  <si>
    <t>1.04%</t>
  </si>
  <si>
    <t>$20,664,141</t>
  </si>
  <si>
    <t>$3,496,040</t>
  </si>
  <si>
    <t>884.42M</t>
  </si>
  <si>
    <t>Bless</t>
  </si>
  <si>
    <t>BLESS</t>
  </si>
  <si>
    <t>$0.01121</t>
  </si>
  <si>
    <t>3.97%</t>
  </si>
  <si>
    <t>$20,653,599</t>
  </si>
  <si>
    <t>$4,005,780</t>
  </si>
  <si>
    <t>1.84B</t>
  </si>
  <si>
    <t>GaiAI</t>
  </si>
  <si>
    <t>GAIX</t>
  </si>
  <si>
    <t>$0.1254</t>
  </si>
  <si>
    <t>0.26%</t>
  </si>
  <si>
    <t>$20,601,570</t>
  </si>
  <si>
    <t>$145,854,360</t>
  </si>
  <si>
    <t>164.16M</t>
  </si>
  <si>
    <t>Xphere</t>
  </si>
  <si>
    <t>XP</t>
  </si>
  <si>
    <t>$0.006957</t>
  </si>
  <si>
    <t>$16,424,993</t>
  </si>
  <si>
    <t>$1,358,758</t>
  </si>
  <si>
    <t>2.36B</t>
  </si>
  <si>
    <t>Circle Internet Group Tokenized Stock (Ondo)</t>
  </si>
  <si>
    <t>CRCLon</t>
  </si>
  <si>
    <t>$86.24</t>
  </si>
  <si>
    <t>$16,385,663</t>
  </si>
  <si>
    <t>$320,378</t>
  </si>
  <si>
    <t>189.97K</t>
  </si>
  <si>
    <t>BugsCoin</t>
  </si>
  <si>
    <t>BGSC</t>
  </si>
  <si>
    <t>$0.001412</t>
  </si>
  <si>
    <t>$16,331,453</t>
  </si>
  <si>
    <t>$3,739,115</t>
  </si>
  <si>
    <t>11.56B</t>
  </si>
  <si>
    <t>ROGin AI</t>
  </si>
  <si>
    <t>ROG</t>
  </si>
  <si>
    <t>$0.2422</t>
  </si>
  <si>
    <t>0.08%</t>
  </si>
  <si>
    <t>$16,227,020</t>
  </si>
  <si>
    <t>$1,281</t>
  </si>
  <si>
    <t>66.98M</t>
  </si>
  <si>
    <t>Ponke</t>
  </si>
  <si>
    <t>PONKE</t>
  </si>
  <si>
    <t>$0.02918</t>
  </si>
  <si>
    <t>0.98%</t>
  </si>
  <si>
    <t>$16,215,310</t>
  </si>
  <si>
    <t>$2,062,193</t>
  </si>
  <si>
    <t>555.54M</t>
  </si>
  <si>
    <t>Vanar Chain</t>
  </si>
  <si>
    <t>VANRY</t>
  </si>
  <si>
    <t>$0.007526</t>
  </si>
  <si>
    <t>$16,198,555</t>
  </si>
  <si>
    <t>$1,758,366</t>
  </si>
  <si>
    <t>2.15B</t>
  </si>
  <si>
    <t>Treehouse</t>
  </si>
  <si>
    <t>TREE</t>
  </si>
  <si>
    <t>$0.1037</t>
  </si>
  <si>
    <t>0.53%</t>
  </si>
  <si>
    <t>$16,192,876</t>
  </si>
  <si>
    <t>$12,492,258</t>
  </si>
  <si>
    <t>156.12M</t>
  </si>
  <si>
    <t>Polyhedra Network</t>
  </si>
  <si>
    <t>ZKJ</t>
  </si>
  <si>
    <t>$0.03853</t>
  </si>
  <si>
    <t>0.79%</t>
  </si>
  <si>
    <t>$16,064,356</t>
  </si>
  <si>
    <t>$3,422,837</t>
  </si>
  <si>
    <t>416.83M</t>
  </si>
  <si>
    <t>AS Roma Fan Token</t>
  </si>
  <si>
    <t>ASR</t>
  </si>
  <si>
    <t>$1.99</t>
  </si>
  <si>
    <t>9.59%</t>
  </si>
  <si>
    <t>$15,954,600</t>
  </si>
  <si>
    <t>$70,480,379</t>
  </si>
  <si>
    <t>8.01M</t>
  </si>
  <si>
    <t>Mythos</t>
  </si>
  <si>
    <t>MYTH</t>
  </si>
  <si>
    <t>$0.01833</t>
  </si>
  <si>
    <t>$15,950,372</t>
  </si>
  <si>
    <t>$59,278</t>
  </si>
  <si>
    <t>869.7M</t>
  </si>
  <si>
    <t>Neutron</t>
  </si>
  <si>
    <t>NTRN</t>
  </si>
  <si>
    <t>$0.02523</t>
  </si>
  <si>
    <t>$15,923,641</t>
  </si>
  <si>
    <t>$1,014,645</t>
  </si>
  <si>
    <t>630.89M</t>
  </si>
  <si>
    <t>Highstreet</t>
  </si>
  <si>
    <t>HIGH</t>
  </si>
  <si>
    <t>$0.2051</t>
  </si>
  <si>
    <t>$15,920,691</t>
  </si>
  <si>
    <t>$2,920,453</t>
  </si>
  <si>
    <t>77.59M</t>
  </si>
  <si>
    <t>Avail</t>
  </si>
  <si>
    <t>AVAIL</t>
  </si>
  <si>
    <t>$0.006745</t>
  </si>
  <si>
    <t>$15,826,267</t>
  </si>
  <si>
    <t>$1,644,731</t>
  </si>
  <si>
    <t>2.34B</t>
  </si>
  <si>
    <t>PepeCoin</t>
  </si>
  <si>
    <t>PEPECOIN</t>
  </si>
  <si>
    <t>$0.1476</t>
  </si>
  <si>
    <t>$15,812,322</t>
  </si>
  <si>
    <t>$306,847</t>
  </si>
  <si>
    <t>107.05M</t>
  </si>
  <si>
    <t>CREPE</t>
  </si>
  <si>
    <t>$0.00002707</t>
  </si>
  <si>
    <t>0.23%</t>
  </si>
  <si>
    <t>$15,724,357</t>
  </si>
  <si>
    <t>$1,795,661</t>
  </si>
  <si>
    <t>580.81B</t>
  </si>
  <si>
    <t>Coq Inu</t>
  </si>
  <si>
    <t>COQ</t>
  </si>
  <si>
    <t>$0.061891</t>
  </si>
  <si>
    <t>$13,134,119</t>
  </si>
  <si>
    <t>$1,516,517</t>
  </si>
  <si>
    <t>69.42T</t>
  </si>
  <si>
    <t>Alltoscan</t>
  </si>
  <si>
    <t>ATS</t>
  </si>
  <si>
    <t>$0.1312</t>
  </si>
  <si>
    <t>0.67%</t>
  </si>
  <si>
    <t>$13,123,357</t>
  </si>
  <si>
    <t>$145,988</t>
  </si>
  <si>
    <t>100M</t>
  </si>
  <si>
    <t>Zeta</t>
  </si>
  <si>
    <t>ZEX</t>
  </si>
  <si>
    <t>$0.06961</t>
  </si>
  <si>
    <t>$13,070,849</t>
  </si>
  <si>
    <t>$209,476</t>
  </si>
  <si>
    <t>187.76M</t>
  </si>
  <si>
    <t>Wecan Group</t>
  </si>
  <si>
    <t>WECAN</t>
  </si>
  <si>
    <t>$0.002174</t>
  </si>
  <si>
    <t>$13,047,966</t>
  </si>
  <si>
    <t>$398,978</t>
  </si>
  <si>
    <t>6B</t>
  </si>
  <si>
    <t>XSGD</t>
  </si>
  <si>
    <t>$0.7740</t>
  </si>
  <si>
    <t>$12,991,779</t>
  </si>
  <si>
    <t>$168,599</t>
  </si>
  <si>
    <t>16.78M</t>
  </si>
  <si>
    <t>Splendor</t>
  </si>
  <si>
    <t>SPLD</t>
  </si>
  <si>
    <t>$0.2905</t>
  </si>
  <si>
    <t>$12,990,382</t>
  </si>
  <si>
    <t>$10,235</t>
  </si>
  <si>
    <t>44.7M</t>
  </si>
  <si>
    <t>Avalon Labs (AVL)</t>
  </si>
  <si>
    <t>AVL</t>
  </si>
  <si>
    <t>$0.08013</t>
  </si>
  <si>
    <t>1.76%</t>
  </si>
  <si>
    <t>$12,956,897</t>
  </si>
  <si>
    <t>$12,775,882</t>
  </si>
  <si>
    <t>161.68M</t>
  </si>
  <si>
    <t>BFG Token</t>
  </si>
  <si>
    <t>BFG</t>
  </si>
  <si>
    <t>$0.01150</t>
  </si>
  <si>
    <t>0.07%</t>
  </si>
  <si>
    <t>$12,915,133</t>
  </si>
  <si>
    <t>$14,942</t>
  </si>
  <si>
    <t>1.12B</t>
  </si>
  <si>
    <t>GYEN</t>
  </si>
  <si>
    <t>$0.006114</t>
  </si>
  <si>
    <t>$12,833,597</t>
  </si>
  <si>
    <t>$72</t>
  </si>
  <si>
    <t>2.09B</t>
  </si>
  <si>
    <t>Alien Worlds</t>
  </si>
  <si>
    <t>TLM</t>
  </si>
  <si>
    <t>$0.002048</t>
  </si>
  <si>
    <t>$12,792,501</t>
  </si>
  <si>
    <t>$3,233,342</t>
  </si>
  <si>
    <t>6.24B</t>
  </si>
  <si>
    <t>Alphabet Class A Tokenized Stock (Ondo)</t>
  </si>
  <si>
    <t>GOOGLon</t>
  </si>
  <si>
    <t>$307.41</t>
  </si>
  <si>
    <t>$12,758,781</t>
  </si>
  <si>
    <t>$294,571</t>
  </si>
  <si>
    <t>41.5K</t>
  </si>
  <si>
    <t>Infinity Ground</t>
  </si>
  <si>
    <t>AIN</t>
  </si>
  <si>
    <t>$0.04964</t>
  </si>
  <si>
    <t>1.79%</t>
  </si>
  <si>
    <t>$12,748,368</t>
  </si>
  <si>
    <t>$2,579,371</t>
  </si>
  <si>
    <t>256.77M</t>
  </si>
  <si>
    <t>ColossusXT</t>
  </si>
  <si>
    <t>COLX</t>
  </si>
  <si>
    <t>$0.0009845</t>
  </si>
  <si>
    <t>$12,536,278</t>
  </si>
  <si>
    <t>12.73B</t>
  </si>
  <si>
    <t>Pikaboss</t>
  </si>
  <si>
    <t>PIKA</t>
  </si>
  <si>
    <t>$0.072978</t>
  </si>
  <si>
    <t>$12,528,439</t>
  </si>
  <si>
    <t>420.69T</t>
  </si>
  <si>
    <t>Agoras: Tau Net</t>
  </si>
  <si>
    <t>AGRS</t>
  </si>
  <si>
    <t>$0.4192</t>
  </si>
  <si>
    <t>$12,520,555</t>
  </si>
  <si>
    <t>$11,382</t>
  </si>
  <si>
    <t>29.86M</t>
  </si>
  <si>
    <t>PayAI Network</t>
  </si>
  <si>
    <t>PAYAI</t>
  </si>
  <si>
    <t>$0.01026</t>
  </si>
  <si>
    <t>6.80%</t>
  </si>
  <si>
    <t>$10,263,393</t>
  </si>
  <si>
    <t>$3,725,662</t>
  </si>
  <si>
    <t>999.92M</t>
  </si>
  <si>
    <t>Tokemak</t>
  </si>
  <si>
    <t>TOKE</t>
  </si>
  <si>
    <t>$0.1210</t>
  </si>
  <si>
    <t>$10,218,253</t>
  </si>
  <si>
    <t>$24,050</t>
  </si>
  <si>
    <t>84.37M</t>
  </si>
  <si>
    <t>Diamond</t>
  </si>
  <si>
    <t>DMD</t>
  </si>
  <si>
    <t>$2.62</t>
  </si>
  <si>
    <t>0.70%</t>
  </si>
  <si>
    <t>$10,209,935</t>
  </si>
  <si>
    <t>$58,863</t>
  </si>
  <si>
    <t>3.88M</t>
  </si>
  <si>
    <t>World of Dypians</t>
  </si>
  <si>
    <t>WOD</t>
  </si>
  <si>
    <t>$0.02748</t>
  </si>
  <si>
    <t>$10,181,572</t>
  </si>
  <si>
    <t>$2,890,350</t>
  </si>
  <si>
    <t>370.45M</t>
  </si>
  <si>
    <t>Heima</t>
  </si>
  <si>
    <t>HEI</t>
  </si>
  <si>
    <t>$0.1197</t>
  </si>
  <si>
    <t>$10,177,709</t>
  </si>
  <si>
    <t>$1,745,887</t>
  </si>
  <si>
    <t>84.98M</t>
  </si>
  <si>
    <t>World3</t>
  </si>
  <si>
    <t>WAI</t>
  </si>
  <si>
    <t>$0.03590</t>
  </si>
  <si>
    <t>$10,176,763</t>
  </si>
  <si>
    <t>$1,968,426</t>
  </si>
  <si>
    <t>283.42M</t>
  </si>
  <si>
    <t>SWEAT</t>
  </si>
  <si>
    <t>$10,154,660</t>
  </si>
  <si>
    <t>$1,493,484</t>
  </si>
  <si>
    <t>7.19B</t>
  </si>
  <si>
    <t>Bella Protocol</t>
  </si>
  <si>
    <t>BEL</t>
  </si>
  <si>
    <t>$0.1268</t>
  </si>
  <si>
    <t>$10,144,538</t>
  </si>
  <si>
    <t>$5,375,471</t>
  </si>
  <si>
    <t>80M</t>
  </si>
  <si>
    <t>AVA</t>
  </si>
  <si>
    <t>$0.01014</t>
  </si>
  <si>
    <t>0.50%</t>
  </si>
  <si>
    <t>$10,134,613</t>
  </si>
  <si>
    <t>$3,304,619</t>
  </si>
  <si>
    <t>999.2M</t>
  </si>
  <si>
    <t>Telos</t>
  </si>
  <si>
    <t>TLOS</t>
  </si>
  <si>
    <t>$0.02272</t>
  </si>
  <si>
    <t>$10,134,565</t>
  </si>
  <si>
    <t>$1,806,828</t>
  </si>
  <si>
    <t>445.87M</t>
  </si>
  <si>
    <t>SIX Token</t>
  </si>
  <si>
    <t>SIX</t>
  </si>
  <si>
    <t>$0.01190</t>
  </si>
  <si>
    <t>0.88%</t>
  </si>
  <si>
    <t>$10,130,034</t>
  </si>
  <si>
    <t>$541,292</t>
  </si>
  <si>
    <t>850.96M</t>
  </si>
  <si>
    <t>Houdini Swap</t>
  </si>
  <si>
    <t>LOCK</t>
  </si>
  <si>
    <t>$0.1114</t>
  </si>
  <si>
    <t>$10,120,696</t>
  </si>
  <si>
    <t>$7,551</t>
  </si>
  <si>
    <t>90.79M</t>
  </si>
  <si>
    <t>iShares MSCI EAFE Tokenized ETF (Ondo)</t>
  </si>
  <si>
    <t>EFAon</t>
  </si>
  <si>
    <t>$96.87</t>
  </si>
  <si>
    <t>$10,092,193</t>
  </si>
  <si>
    <t>104.17K</t>
  </si>
  <si>
    <t>Tether Gold Tokens</t>
  </si>
  <si>
    <t>XAUT0</t>
  </si>
  <si>
    <t>$4,354.60</t>
  </si>
  <si>
    <t>$10,087,488</t>
  </si>
  <si>
    <t>$95,760</t>
  </si>
  <si>
    <t>2.31K</t>
  </si>
  <si>
    <t>Keyboard Cat</t>
  </si>
  <si>
    <t>KEYCAT</t>
  </si>
  <si>
    <t>$0.001010</t>
  </si>
  <si>
    <t>$10,100,897</t>
  </si>
  <si>
    <t>$398,895</t>
  </si>
  <si>
    <t>10B</t>
  </si>
  <si>
    <t>DuckChain</t>
  </si>
  <si>
    <t>DUCK</t>
  </si>
  <si>
    <t>$0.001135</t>
  </si>
  <si>
    <t>$8,122,293</t>
  </si>
  <si>
    <t>$2,571,910</t>
  </si>
  <si>
    <t>7.15B</t>
  </si>
  <si>
    <t>Kryll</t>
  </si>
  <si>
    <t>KRL</t>
  </si>
  <si>
    <t>$0.2031</t>
  </si>
  <si>
    <t>$8,105,168</t>
  </si>
  <si>
    <t>$197,847</t>
  </si>
  <si>
    <t>39.9M</t>
  </si>
  <si>
    <t>xU3O8</t>
  </si>
  <si>
    <t>XU3O8</t>
  </si>
  <si>
    <t>$5.05</t>
  </si>
  <si>
    <t>$8,086,725</t>
  </si>
  <si>
    <t>$2,041,502</t>
  </si>
  <si>
    <t>1.6M</t>
  </si>
  <si>
    <t>Stonks</t>
  </si>
  <si>
    <t>STNK</t>
  </si>
  <si>
    <t>$13.89</t>
  </si>
  <si>
    <t>$8,086,075</t>
  </si>
  <si>
    <t>$81,528</t>
  </si>
  <si>
    <t>581.88K</t>
  </si>
  <si>
    <t>HAiO</t>
  </si>
  <si>
    <t>HAIO</t>
  </si>
  <si>
    <t>$0.02431</t>
  </si>
  <si>
    <t>0.33%</t>
  </si>
  <si>
    <t>$8,072,787</t>
  </si>
  <si>
    <t>$1,922,221</t>
  </si>
  <si>
    <t>331.98M</t>
  </si>
  <si>
    <t>Brickken</t>
  </si>
  <si>
    <t>BKN</t>
  </si>
  <si>
    <t>$0.09954</t>
  </si>
  <si>
    <t>$8,024,621</t>
  </si>
  <si>
    <t>$222,727</t>
  </si>
  <si>
    <t>80.61M</t>
  </si>
  <si>
    <t>QuickSwap [Old]</t>
  </si>
  <si>
    <t>QUICK</t>
  </si>
  <si>
    <t>$11.30</t>
  </si>
  <si>
    <t>0.19%</t>
  </si>
  <si>
    <t>$7,986,894</t>
  </si>
  <si>
    <t>$1,293</t>
  </si>
  <si>
    <t>706.33K</t>
  </si>
  <si>
    <t>Cointel</t>
  </si>
  <si>
    <t>COLS</t>
  </si>
  <si>
    <t>$0.01408</t>
  </si>
  <si>
    <t>$7,979,231</t>
  </si>
  <si>
    <t>$2,089,834</t>
  </si>
  <si>
    <t>566.34M</t>
  </si>
  <si>
    <t>Quantoz USDQ</t>
  </si>
  <si>
    <t>USDQ</t>
  </si>
  <si>
    <t>$0.9991</t>
  </si>
  <si>
    <t>$7,973,287</t>
  </si>
  <si>
    <t>$3,377,869</t>
  </si>
  <si>
    <t>7.98M</t>
  </si>
  <si>
    <t>Daddy Tate</t>
  </si>
  <si>
    <t>DADDY</t>
  </si>
  <si>
    <t>$0.01328</t>
  </si>
  <si>
    <t>4.76%</t>
  </si>
  <si>
    <t>$7,967,451</t>
  </si>
  <si>
    <t>$1,560,930</t>
  </si>
  <si>
    <t>599.62M</t>
  </si>
  <si>
    <t>0x0.ai</t>
  </si>
  <si>
    <t>0x0</t>
  </si>
  <si>
    <t>$0.009157</t>
  </si>
  <si>
    <t>$7,953,928</t>
  </si>
  <si>
    <t>$7,410</t>
  </si>
  <si>
    <t>868.56M</t>
  </si>
  <si>
    <t>Equilibria Finance</t>
  </si>
  <si>
    <t>EQB</t>
  </si>
  <si>
    <t>$0.2347</t>
  </si>
  <si>
    <t>$7,940,136</t>
  </si>
  <si>
    <t>$3,179</t>
  </si>
  <si>
    <t>33.82M</t>
  </si>
  <si>
    <t>Russell</t>
  </si>
  <si>
    <t>RUSSELL</t>
  </si>
  <si>
    <t>$0.008176</t>
  </si>
  <si>
    <t>4.00%</t>
  </si>
  <si>
    <t>$7,939,043</t>
  </si>
  <si>
    <t>$4,301,672</t>
  </si>
  <si>
    <t>970.98M</t>
  </si>
  <si>
    <t>Venus LINK</t>
  </si>
  <si>
    <t>vLINK</t>
  </si>
  <si>
    <t>$0.2565</t>
  </si>
  <si>
    <t>$7,928,209</t>
  </si>
  <si>
    <t>30.9M</t>
  </si>
  <si>
    <t>Fair and Free</t>
  </si>
  <si>
    <t>FAIR3</t>
  </si>
  <si>
    <t>$0.008457</t>
  </si>
  <si>
    <t>$7,914,890</t>
  </si>
  <si>
    <t>$77,409</t>
  </si>
  <si>
    <t>935.81M</t>
  </si>
  <si>
    <t>Konnect</t>
  </si>
  <si>
    <t>KCT</t>
  </si>
  <si>
    <t>$0.0008505</t>
  </si>
  <si>
    <t>$6,272,861</t>
  </si>
  <si>
    <t>$273,867</t>
  </si>
  <si>
    <t>7.37B</t>
  </si>
  <si>
    <t>GOLDAO</t>
  </si>
  <si>
    <t>$0.007905</t>
  </si>
  <si>
    <t>$6,265,404</t>
  </si>
  <si>
    <t>$2,426</t>
  </si>
  <si>
    <t>792.55M</t>
  </si>
  <si>
    <t>WHY</t>
  </si>
  <si>
    <t>$0.071489</t>
  </si>
  <si>
    <t>$6,254,137</t>
  </si>
  <si>
    <t>$212,197</t>
  </si>
  <si>
    <t>420T</t>
  </si>
  <si>
    <t>Semantic Layer</t>
  </si>
  <si>
    <t>42</t>
  </si>
  <si>
    <t>$0.04219</t>
  </si>
  <si>
    <t>$6,251,681</t>
  </si>
  <si>
    <t>$1,825,074</t>
  </si>
  <si>
    <t>148.16M</t>
  </si>
  <si>
    <t>Scallop</t>
  </si>
  <si>
    <t>SCA</t>
  </si>
  <si>
    <t>$0.04441</t>
  </si>
  <si>
    <t>$6,230,699</t>
  </si>
  <si>
    <t>$1,228,669</t>
  </si>
  <si>
    <t>140.28M</t>
  </si>
  <si>
    <t>dHedge DAO</t>
  </si>
  <si>
    <t>DHT</t>
  </si>
  <si>
    <t>$0.1143</t>
  </si>
  <si>
    <t>$6,216,056</t>
  </si>
  <si>
    <t>$3,022</t>
  </si>
  <si>
    <t>54.37M</t>
  </si>
  <si>
    <t>KAN</t>
  </si>
  <si>
    <t>$0.0006407</t>
  </si>
  <si>
    <t>$6,207,938</t>
  </si>
  <si>
    <t>$40,938</t>
  </si>
  <si>
    <t>9.68B</t>
  </si>
  <si>
    <t>LC SHIB</t>
  </si>
  <si>
    <t>LC</t>
  </si>
  <si>
    <t>$0.006568</t>
  </si>
  <si>
    <t>$6,205,613</t>
  </si>
  <si>
    <t>$247,193</t>
  </si>
  <si>
    <t>944.7M</t>
  </si>
  <si>
    <t>DOWGE</t>
  </si>
  <si>
    <t>DJI6930</t>
  </si>
  <si>
    <t>$0.006161</t>
  </si>
  <si>
    <t>$6,161,025</t>
  </si>
  <si>
    <t>$524,306</t>
  </si>
  <si>
    <t>999.97M</t>
  </si>
  <si>
    <t>Stake DAO</t>
  </si>
  <si>
    <t>SDT</t>
  </si>
  <si>
    <t>$6,160,387</t>
  </si>
  <si>
    <t>23.89M</t>
  </si>
  <si>
    <t>MemeFi</t>
  </si>
  <si>
    <t>MEMEFI</t>
  </si>
  <si>
    <t>$0.0006129</t>
  </si>
  <si>
    <t>$6,129,073</t>
  </si>
  <si>
    <t>$2,807,172</t>
  </si>
  <si>
    <t>Aurory</t>
  </si>
  <si>
    <t>AURY</t>
  </si>
  <si>
    <t>$0.08156</t>
  </si>
  <si>
    <t>$6,127,767</t>
  </si>
  <si>
    <t>$91,514</t>
  </si>
  <si>
    <t>75.12M</t>
  </si>
  <si>
    <t>Purple Bitcoin</t>
  </si>
  <si>
    <t>PBTC</t>
  </si>
  <si>
    <t>$0.3166</t>
  </si>
  <si>
    <t>$6,115,705</t>
  </si>
  <si>
    <t>$102,283</t>
  </si>
  <si>
    <t>19.31M</t>
  </si>
  <si>
    <t>Games for a Living</t>
  </si>
  <si>
    <t>GFAL</t>
  </si>
  <si>
    <t>$0.001651</t>
  </si>
  <si>
    <t>$6,114,215</t>
  </si>
  <si>
    <t>$87,536</t>
  </si>
  <si>
    <t>3.7B</t>
  </si>
  <si>
    <t>B-Lucky</t>
  </si>
  <si>
    <t>LUCKY</t>
  </si>
  <si>
    <t>$0.006103</t>
  </si>
  <si>
    <t>$6,103,902</t>
  </si>
  <si>
    <t>$27,657</t>
  </si>
  <si>
    <t>AIVille Governance Token</t>
  </si>
  <si>
    <t>AIV</t>
  </si>
  <si>
    <t>$0.001790</t>
  </si>
  <si>
    <t>$4,972,149</t>
  </si>
  <si>
    <t>$12,701</t>
  </si>
  <si>
    <t>2.77B</t>
  </si>
  <si>
    <t>Stella</t>
  </si>
  <si>
    <t>ALPHA</t>
  </si>
  <si>
    <t>$0.005157</t>
  </si>
  <si>
    <t>$4,956,333</t>
  </si>
  <si>
    <t>$295,321</t>
  </si>
  <si>
    <t>961M</t>
  </si>
  <si>
    <t>Electra Protocol</t>
  </si>
  <si>
    <t>XEP</t>
  </si>
  <si>
    <t>$0.0002695</t>
  </si>
  <si>
    <t>$4,939,957</t>
  </si>
  <si>
    <t>$126,269</t>
  </si>
  <si>
    <t>18.32B</t>
  </si>
  <si>
    <t>Lingo</t>
  </si>
  <si>
    <t>LINGO</t>
  </si>
  <si>
    <t>$0.01013</t>
  </si>
  <si>
    <t>$4,925,795</t>
  </si>
  <si>
    <t>$361,696</t>
  </si>
  <si>
    <t>486.2M</t>
  </si>
  <si>
    <t>My Lovely Planet</t>
  </si>
  <si>
    <t>MLC</t>
  </si>
  <si>
    <t>$0.05287</t>
  </si>
  <si>
    <t>$4,925,368</t>
  </si>
  <si>
    <t>$442,896</t>
  </si>
  <si>
    <t>93.14M</t>
  </si>
  <si>
    <t>Upland (SPARKLET)</t>
  </si>
  <si>
    <t>SPARKLET</t>
  </si>
  <si>
    <t>$0.02099</t>
  </si>
  <si>
    <t>$4,922,842</t>
  </si>
  <si>
    <t>$278,183</t>
  </si>
  <si>
    <t>234.52M</t>
  </si>
  <si>
    <t>Helium IOT</t>
  </si>
  <si>
    <t>IOT</t>
  </si>
  <si>
    <t>$0.0002424</t>
  </si>
  <si>
    <t>$4,911,058</t>
  </si>
  <si>
    <t>$487</t>
  </si>
  <si>
    <t>20.25B</t>
  </si>
  <si>
    <t>Broccoli (firstbroccoli.com)</t>
  </si>
  <si>
    <t>BROCCOLI</t>
  </si>
  <si>
    <t>$0.004892</t>
  </si>
  <si>
    <t>$4,892,467</t>
  </si>
  <si>
    <t>$854,807</t>
  </si>
  <si>
    <t>WELF</t>
  </si>
  <si>
    <t>$0.3854</t>
  </si>
  <si>
    <t>1.64%</t>
  </si>
  <si>
    <t>$4,877,738</t>
  </si>
  <si>
    <t>$215,789</t>
  </si>
  <si>
    <t>12.65M</t>
  </si>
  <si>
    <t>CateCoin</t>
  </si>
  <si>
    <t>CATE</t>
  </si>
  <si>
    <t>$0.078514</t>
  </si>
  <si>
    <t>1.13%</t>
  </si>
  <si>
    <t>$4,876,749</t>
  </si>
  <si>
    <t>$375,201</t>
  </si>
  <si>
    <t>57.27T</t>
  </si>
  <si>
    <t>Moby</t>
  </si>
  <si>
    <t>MOBY</t>
  </si>
  <si>
    <t>$0.004872</t>
  </si>
  <si>
    <t>$4,872,450</t>
  </si>
  <si>
    <t>$1,280,155</t>
  </si>
  <si>
    <t>Particl</t>
  </si>
  <si>
    <t>PART</t>
  </si>
  <si>
    <t>$0.3138</t>
  </si>
  <si>
    <t>0.62%</t>
  </si>
  <si>
    <t>$4,852,783</t>
  </si>
  <si>
    <t>$100,481</t>
  </si>
  <si>
    <t>15.45M</t>
  </si>
  <si>
    <t>Custodiy</t>
  </si>
  <si>
    <t>CTY</t>
  </si>
  <si>
    <t>$9.76</t>
  </si>
  <si>
    <t>1.11%</t>
  </si>
  <si>
    <t>$4,850,979</t>
  </si>
  <si>
    <t>$402,549</t>
  </si>
  <si>
    <t>496.54K</t>
  </si>
  <si>
    <t>Trusta.AI</t>
  </si>
  <si>
    <t>TA</t>
  </si>
  <si>
    <t>$0.02134</t>
  </si>
  <si>
    <t>$4,842,635</t>
  </si>
  <si>
    <t>$2,328,961</t>
  </si>
  <si>
    <t>226.87M</t>
  </si>
  <si>
    <t>XSwap</t>
  </si>
  <si>
    <t>XSWAP</t>
  </si>
  <si>
    <t>$0.01621</t>
  </si>
  <si>
    <t>0.38%</t>
  </si>
  <si>
    <t>$4,836,273</t>
  </si>
  <si>
    <t>$121,289</t>
  </si>
  <si>
    <t>298.25M</t>
  </si>
  <si>
    <t>Metahero</t>
  </si>
  <si>
    <t>HERO</t>
  </si>
  <si>
    <t>$0.0008043</t>
  </si>
  <si>
    <t>$4,098,858</t>
  </si>
  <si>
    <t>$51,766</t>
  </si>
  <si>
    <t>5.09B</t>
  </si>
  <si>
    <t>Portugal National Team Fan Token</t>
  </si>
  <si>
    <t>POR</t>
  </si>
  <si>
    <t>$0.4741</t>
  </si>
  <si>
    <t>1.24%</t>
  </si>
  <si>
    <t>$4,092,301</t>
  </si>
  <si>
    <t>$498,045</t>
  </si>
  <si>
    <t>8.62M</t>
  </si>
  <si>
    <t>AstraAI</t>
  </si>
  <si>
    <t>ASTRA</t>
  </si>
  <si>
    <t>$0.4071</t>
  </si>
  <si>
    <t>$4,071,360</t>
  </si>
  <si>
    <t>$58,006</t>
  </si>
  <si>
    <t>9.99M</t>
  </si>
  <si>
    <t>Worldwide USD</t>
  </si>
  <si>
    <t>WUSD</t>
  </si>
  <si>
    <t>$4,059,423</t>
  </si>
  <si>
    <t>$993,206</t>
  </si>
  <si>
    <t>4.05M</t>
  </si>
  <si>
    <t>Ultra</t>
  </si>
  <si>
    <t>UOS</t>
  </si>
  <si>
    <t>$4,056,290</t>
  </si>
  <si>
    <t>$452,151</t>
  </si>
  <si>
    <t>479.62M</t>
  </si>
  <si>
    <t>Mysterium</t>
  </si>
  <si>
    <t>MYST</t>
  </si>
  <si>
    <t>$0.2018</t>
  </si>
  <si>
    <t>1.71%</t>
  </si>
  <si>
    <t>$4,044,070</t>
  </si>
  <si>
    <t>$86,399</t>
  </si>
  <si>
    <t>20.03M</t>
  </si>
  <si>
    <t>Mayflower AI</t>
  </si>
  <si>
    <t>MAY</t>
  </si>
  <si>
    <t>$0.01206</t>
  </si>
  <si>
    <t>0.82%</t>
  </si>
  <si>
    <t>$4,032,882</t>
  </si>
  <si>
    <t>$2,124,270</t>
  </si>
  <si>
    <t>334.17M</t>
  </si>
  <si>
    <t>HOSKY Token</t>
  </si>
  <si>
    <t>HOSKY</t>
  </si>
  <si>
    <t>$0.071765</t>
  </si>
  <si>
    <t>$4,025,739</t>
  </si>
  <si>
    <t>$299,678</t>
  </si>
  <si>
    <t>227.99T</t>
  </si>
  <si>
    <t>BlackFort Exchange Network</t>
  </si>
  <si>
    <t>BXN</t>
  </si>
  <si>
    <t>$0.0008939</t>
  </si>
  <si>
    <t>$4,013,522</t>
  </si>
  <si>
    <t>$412,636</t>
  </si>
  <si>
    <t>4.48B</t>
  </si>
  <si>
    <t>PussFi</t>
  </si>
  <si>
    <t>PUSS</t>
  </si>
  <si>
    <t>$0.004554</t>
  </si>
  <si>
    <t>$4,002,278</t>
  </si>
  <si>
    <t>$1,088,864</t>
  </si>
  <si>
    <t>878.82M</t>
  </si>
  <si>
    <t>KaiChain</t>
  </si>
  <si>
    <t>KAI</t>
  </si>
  <si>
    <t>$0.0008380</t>
  </si>
  <si>
    <t>$4,001,721</t>
  </si>
  <si>
    <t>$8,904</t>
  </si>
  <si>
    <t>4.77B</t>
  </si>
  <si>
    <t>AXEL</t>
  </si>
  <si>
    <t>$0.01411</t>
  </si>
  <si>
    <t>$3,995,184</t>
  </si>
  <si>
    <t>283.1M</t>
  </si>
  <si>
    <t>DaGama World</t>
  </si>
  <si>
    <t>DGMA</t>
  </si>
  <si>
    <t>$0.06513</t>
  </si>
  <si>
    <t>$3,991,078</t>
  </si>
  <si>
    <t>$1,801,552</t>
  </si>
  <si>
    <t>61.27M</t>
  </si>
  <si>
    <t>Gochujangcoin</t>
  </si>
  <si>
    <t>GOCHU</t>
  </si>
  <si>
    <t>$0.063567</t>
  </si>
  <si>
    <t>$3,988,311</t>
  </si>
  <si>
    <t>$154,139</t>
  </si>
  <si>
    <t>11.17T</t>
  </si>
  <si>
    <t>VNX Gold</t>
  </si>
  <si>
    <t>VNXAU</t>
  </si>
  <si>
    <t>$136.32</t>
  </si>
  <si>
    <t>$3,967,175</t>
  </si>
  <si>
    <t>$65,166</t>
  </si>
  <si>
    <t>29.1K</t>
  </si>
  <si>
    <t>Roaring Kitty</t>
  </si>
  <si>
    <t>ROAR</t>
  </si>
  <si>
    <t>$0.003190</t>
  </si>
  <si>
    <t>$3,190,030</t>
  </si>
  <si>
    <t>$129,109</t>
  </si>
  <si>
    <t>BitShares</t>
  </si>
  <si>
    <t>BTS</t>
  </si>
  <si>
    <t>$0.001064</t>
  </si>
  <si>
    <t>$3,187,133</t>
  </si>
  <si>
    <t>$82,112</t>
  </si>
  <si>
    <t>2.99B</t>
  </si>
  <si>
    <t>Renta Network</t>
  </si>
  <si>
    <t>RENTA</t>
  </si>
  <si>
    <t>$0.006376</t>
  </si>
  <si>
    <t>$3,186,414</t>
  </si>
  <si>
    <t>$222,576</t>
  </si>
  <si>
    <t>499.71M</t>
  </si>
  <si>
    <t>Department Of Government Efficiency (dogegov.com)</t>
  </si>
  <si>
    <t>$0.003252</t>
  </si>
  <si>
    <t>$3,184,110</t>
  </si>
  <si>
    <t>$1,041,133</t>
  </si>
  <si>
    <t>979.12M</t>
  </si>
  <si>
    <t>STAT</t>
  </si>
  <si>
    <t>$0.03918</t>
  </si>
  <si>
    <t>0.63%</t>
  </si>
  <si>
    <t>$3,170,980</t>
  </si>
  <si>
    <t>$364,959</t>
  </si>
  <si>
    <t>80.91M</t>
  </si>
  <si>
    <t>Artrade</t>
  </si>
  <si>
    <t>ATR</t>
  </si>
  <si>
    <t>$0.002515</t>
  </si>
  <si>
    <t>$3,169,190</t>
  </si>
  <si>
    <t>$333,463</t>
  </si>
  <si>
    <t>1.26B</t>
  </si>
  <si>
    <t>Wise Monkey</t>
  </si>
  <si>
    <t>MONKY</t>
  </si>
  <si>
    <t>$0.063727</t>
  </si>
  <si>
    <t>$3,168,439</t>
  </si>
  <si>
    <t>$189,452</t>
  </si>
  <si>
    <t>8.5T</t>
  </si>
  <si>
    <t>Cellframe</t>
  </si>
  <si>
    <t>CELL</t>
  </si>
  <si>
    <t>$0.1105</t>
  </si>
  <si>
    <t>3.00%</t>
  </si>
  <si>
    <t>$3,161,989</t>
  </si>
  <si>
    <t>$619,781</t>
  </si>
  <si>
    <t>28.59M</t>
  </si>
  <si>
    <t>Omnity Convertible Token</t>
  </si>
  <si>
    <t>OCT</t>
  </si>
  <si>
    <t>$0.03161</t>
  </si>
  <si>
    <t>$3,161,988</t>
  </si>
  <si>
    <t>$70,474</t>
  </si>
  <si>
    <t>RHEA Finance</t>
  </si>
  <si>
    <t>RHEA</t>
  </si>
  <si>
    <t>$0.01572</t>
  </si>
  <si>
    <t>$3,145,553</t>
  </si>
  <si>
    <t>$3,337,405</t>
  </si>
  <si>
    <t>200M</t>
  </si>
  <si>
    <t>Grok</t>
  </si>
  <si>
    <t>GROK</t>
  </si>
  <si>
    <t>$0.0004975</t>
  </si>
  <si>
    <t>$3,144,141</t>
  </si>
  <si>
    <t>$322,501</t>
  </si>
  <si>
    <t>6.31B</t>
  </si>
  <si>
    <t>TEMCO</t>
  </si>
  <si>
    <t>$0.0007894</t>
  </si>
  <si>
    <t>2.51%</t>
  </si>
  <si>
    <t>$3,136,583</t>
  </si>
  <si>
    <t>$211,641</t>
  </si>
  <si>
    <t>3.97B</t>
  </si>
  <si>
    <t>U</t>
  </si>
  <si>
    <t>$0.003149</t>
  </si>
  <si>
    <t>$3,128,134</t>
  </si>
  <si>
    <t>$29,337</t>
  </si>
  <si>
    <t>993.34M</t>
  </si>
  <si>
    <t>Botto</t>
  </si>
  <si>
    <t>BOTTO</t>
  </si>
  <si>
    <t>$0.06382</t>
  </si>
  <si>
    <t>0.22%</t>
  </si>
  <si>
    <t>$3,113,946</t>
  </si>
  <si>
    <t>$63,368</t>
  </si>
  <si>
    <t>48.79M</t>
  </si>
  <si>
    <t>Guild of Guardians</t>
  </si>
  <si>
    <t>GOG</t>
  </si>
  <si>
    <t>$0.003800</t>
  </si>
  <si>
    <t>$3,112,337</t>
  </si>
  <si>
    <t>$46,064</t>
  </si>
  <si>
    <t>818.88M</t>
  </si>
  <si>
    <t>Rejuve.AI</t>
  </si>
  <si>
    <t>RJV</t>
  </si>
  <si>
    <t>$0.003412</t>
  </si>
  <si>
    <t>$2,624,600</t>
  </si>
  <si>
    <t>$272,948</t>
  </si>
  <si>
    <t>769.06M</t>
  </si>
  <si>
    <t>Procter &amp; Gamble Tokenized Stock (Ondo)</t>
  </si>
  <si>
    <t>PGon</t>
  </si>
  <si>
    <t>$145.96</t>
  </si>
  <si>
    <t>$2,618,272</t>
  </si>
  <si>
    <t>$32,169</t>
  </si>
  <si>
    <t>17.93K</t>
  </si>
  <si>
    <t>Coupon Assets</t>
  </si>
  <si>
    <t>CA</t>
  </si>
  <si>
    <t>$0.2705</t>
  </si>
  <si>
    <t>0.42%</t>
  </si>
  <si>
    <t>$2,616,371</t>
  </si>
  <si>
    <t>$548,295</t>
  </si>
  <si>
    <t>9.67M</t>
  </si>
  <si>
    <t>Ref Finance</t>
  </si>
  <si>
    <t>REF</t>
  </si>
  <si>
    <t>$0.05732</t>
  </si>
  <si>
    <t>$2,608,856</t>
  </si>
  <si>
    <t>45.51M</t>
  </si>
  <si>
    <t>ZClassic</t>
  </si>
  <si>
    <t>ZCL</t>
  </si>
  <si>
    <t>$0.2798</t>
  </si>
  <si>
    <t>$2,599,223</t>
  </si>
  <si>
    <t>$111</t>
  </si>
  <si>
    <t>9.28M</t>
  </si>
  <si>
    <t>bitsCrunch</t>
  </si>
  <si>
    <t>BCUT</t>
  </si>
  <si>
    <t>$0.004305</t>
  </si>
  <si>
    <t>$2,599,402</t>
  </si>
  <si>
    <t>$292,160</t>
  </si>
  <si>
    <t>603.77M</t>
  </si>
  <si>
    <t>U2U Network</t>
  </si>
  <si>
    <t>U2U</t>
  </si>
  <si>
    <t>$0.001702</t>
  </si>
  <si>
    <t>0.77%</t>
  </si>
  <si>
    <t>$2,598,336</t>
  </si>
  <si>
    <t>$419,073</t>
  </si>
  <si>
    <t>1.52B</t>
  </si>
  <si>
    <t>TokenFi</t>
  </si>
  <si>
    <t>TOKEN</t>
  </si>
  <si>
    <t>$0.002593</t>
  </si>
  <si>
    <t>$2,593,788</t>
  </si>
  <si>
    <t>$1,931,857</t>
  </si>
  <si>
    <t>Microsoft Tokenized Stock (Ondo)</t>
  </si>
  <si>
    <t>MSFTon</t>
  </si>
  <si>
    <t>$486.67</t>
  </si>
  <si>
    <t>$2,593,163</t>
  </si>
  <si>
    <t>$220,815</t>
  </si>
  <si>
    <t>5.32K</t>
  </si>
  <si>
    <t>Unizen</t>
  </si>
  <si>
    <t>ZCX</t>
  </si>
  <si>
    <t>$0.003981</t>
  </si>
  <si>
    <t>$2,591,059</t>
  </si>
  <si>
    <t>$120,482</t>
  </si>
  <si>
    <t>650.81M</t>
  </si>
  <si>
    <t>Giggle Panda</t>
  </si>
  <si>
    <t>GIGL</t>
  </si>
  <si>
    <t>$0.002572</t>
  </si>
  <si>
    <t>$2,572,928</t>
  </si>
  <si>
    <t>$223,938</t>
  </si>
  <si>
    <t>999.99M</t>
  </si>
  <si>
    <t>Cere Network</t>
  </si>
  <si>
    <t>CERE</t>
  </si>
  <si>
    <t>$0.0003705</t>
  </si>
  <si>
    <t>$2,571,470</t>
  </si>
  <si>
    <t>$77,851</t>
  </si>
  <si>
    <t>6.93B</t>
  </si>
  <si>
    <t>Billy (Bitcoin)</t>
  </si>
  <si>
    <t>BILLY</t>
  </si>
  <si>
    <t>$0.002569</t>
  </si>
  <si>
    <t>$2,569,001</t>
  </si>
  <si>
    <t>$3,446</t>
  </si>
  <si>
    <t>Harold</t>
  </si>
  <si>
    <t>HAROLD</t>
  </si>
  <si>
    <t>$0.003262</t>
  </si>
  <si>
    <t>$2,567,987</t>
  </si>
  <si>
    <t>$25,953</t>
  </si>
  <si>
    <t>787M</t>
  </si>
  <si>
    <t>Cortex</t>
  </si>
  <si>
    <t>CTXC</t>
  </si>
  <si>
    <t>$0.01089</t>
  </si>
  <si>
    <t>7.94%</t>
  </si>
  <si>
    <t>$2,557,395</t>
  </si>
  <si>
    <t>$1,031,311</t>
  </si>
  <si>
    <t>234.81M</t>
  </si>
  <si>
    <t>LATOKEN</t>
  </si>
  <si>
    <t>LA</t>
  </si>
  <si>
    <t>$0.005438</t>
  </si>
  <si>
    <t>$2,067,068</t>
  </si>
  <si>
    <t>$68</t>
  </si>
  <si>
    <t>380.1M</t>
  </si>
  <si>
    <t>Aerobud</t>
  </si>
  <si>
    <t>AEROBUD</t>
  </si>
  <si>
    <t>$0.002125</t>
  </si>
  <si>
    <t>$2,061,941</t>
  </si>
  <si>
    <t>$202,808</t>
  </si>
  <si>
    <t>970M</t>
  </si>
  <si>
    <t>Pandu Pandas</t>
  </si>
  <si>
    <t>PANDU</t>
  </si>
  <si>
    <t>$0.00002139</t>
  </si>
  <si>
    <t>2.16%</t>
  </si>
  <si>
    <t>$2,061,716</t>
  </si>
  <si>
    <t>$1,112,131</t>
  </si>
  <si>
    <t>96.37B</t>
  </si>
  <si>
    <t>Cream Finance</t>
  </si>
  <si>
    <t>CREAM</t>
  </si>
  <si>
    <t>$1.10</t>
  </si>
  <si>
    <t>$2,058,697</t>
  </si>
  <si>
    <t>$47,788</t>
  </si>
  <si>
    <t>1.85M</t>
  </si>
  <si>
    <t>Micron Technology Tokenized Stock (Ondo)</t>
  </si>
  <si>
    <t>MUon</t>
  </si>
  <si>
    <t>$269.86</t>
  </si>
  <si>
    <t>$2,058,129</t>
  </si>
  <si>
    <t>$213,139</t>
  </si>
  <si>
    <t>7.62K</t>
  </si>
  <si>
    <t>Trabzonspor Fan Token</t>
  </si>
  <si>
    <t>TRA</t>
  </si>
  <si>
    <t>$0.2677</t>
  </si>
  <si>
    <t>1.37%</t>
  </si>
  <si>
    <t>$2,052,913</t>
  </si>
  <si>
    <t>$412,964</t>
  </si>
  <si>
    <t>7.66M</t>
  </si>
  <si>
    <t>DOYR</t>
  </si>
  <si>
    <t>$0.002051</t>
  </si>
  <si>
    <t>2.41%</t>
  </si>
  <si>
    <t>$2,051,634</t>
  </si>
  <si>
    <t>$3,927,486</t>
  </si>
  <si>
    <t>Step App</t>
  </si>
  <si>
    <t>FITFI</t>
  </si>
  <si>
    <t>$0.0004701</t>
  </si>
  <si>
    <t>$2,039,455</t>
  </si>
  <si>
    <t>$1,877,811</t>
  </si>
  <si>
    <t>4.33B</t>
  </si>
  <si>
    <t>Tottenham Hotspur Fan Token</t>
  </si>
  <si>
    <t>SPURS</t>
  </si>
  <si>
    <t>$0.1804</t>
  </si>
  <si>
    <t>$2,037,382</t>
  </si>
  <si>
    <t>$175,018</t>
  </si>
  <si>
    <t>11.28M</t>
  </si>
  <si>
    <t>Jerry The Turtle By Matt Furie</t>
  </si>
  <si>
    <t>JYAI</t>
  </si>
  <si>
    <t>$0.00002940</t>
  </si>
  <si>
    <t>$2,029,259</t>
  </si>
  <si>
    <t>$2,841,232</t>
  </si>
  <si>
    <t>69B</t>
  </si>
  <si>
    <t>DFI.Money</t>
  </si>
  <si>
    <t>YFII</t>
  </si>
  <si>
    <t>$52.74</t>
  </si>
  <si>
    <t>1.33%</t>
  </si>
  <si>
    <t>$2,035,580</t>
  </si>
  <si>
    <t>$117,506</t>
  </si>
  <si>
    <t>38.59K</t>
  </si>
  <si>
    <t>Pepe 2.0 (pepe20.vip)</t>
  </si>
  <si>
    <t>PEPE2.0</t>
  </si>
  <si>
    <t>$0.084327</t>
  </si>
  <si>
    <t>$2,029,473</t>
  </si>
  <si>
    <t>$73,652</t>
  </si>
  <si>
    <t>469T</t>
  </si>
  <si>
    <t>Rizzmas</t>
  </si>
  <si>
    <t>RIZZMAS</t>
  </si>
  <si>
    <t>$0.054059</t>
  </si>
  <si>
    <t>3.58%</t>
  </si>
  <si>
    <t>$2,018,735</t>
  </si>
  <si>
    <t>$6,071,099</t>
  </si>
  <si>
    <t>497.31B</t>
  </si>
  <si>
    <t>Samoyedcoin</t>
  </si>
  <si>
    <t>SAMO</t>
  </si>
  <si>
    <t>$0.0005507</t>
  </si>
  <si>
    <t>$2,014,166</t>
  </si>
  <si>
    <t>$119,479</t>
  </si>
  <si>
    <t>3.65B</t>
  </si>
  <si>
    <t>ShibaDoge</t>
  </si>
  <si>
    <t>SHIBDOGE</t>
  </si>
  <si>
    <t>$0.0161604</t>
  </si>
  <si>
    <t>$1,998,825</t>
  </si>
  <si>
    <t>$75</t>
  </si>
  <si>
    <t>124,602.47E</t>
  </si>
  <si>
    <t>v.systems</t>
  </si>
  <si>
    <t>VSYS</t>
  </si>
  <si>
    <t>$0.0004681</t>
  </si>
  <si>
    <t>$1,673,937</t>
  </si>
  <si>
    <t>$875,639</t>
  </si>
  <si>
    <t>3.57B</t>
  </si>
  <si>
    <t>mStable Governance Token: Meta (MTA)</t>
  </si>
  <si>
    <t>MTA</t>
  </si>
  <si>
    <t>$0.03013</t>
  </si>
  <si>
    <t>$1,670,143</t>
  </si>
  <si>
    <t>$8</t>
  </si>
  <si>
    <t>55.41M</t>
  </si>
  <si>
    <t>Presearch</t>
  </si>
  <si>
    <t>PRE</t>
  </si>
  <si>
    <t>$0.004182</t>
  </si>
  <si>
    <t>$1,658,808</t>
  </si>
  <si>
    <t>$3,960</t>
  </si>
  <si>
    <t>396.57M</t>
  </si>
  <si>
    <t>Port3 Network</t>
  </si>
  <si>
    <t>PORT3</t>
  </si>
  <si>
    <t>$0.002393</t>
  </si>
  <si>
    <t>2.91%</t>
  </si>
  <si>
    <t>$1,658,112</t>
  </si>
  <si>
    <t>$2,395,488</t>
  </si>
  <si>
    <t>692.89M</t>
  </si>
  <si>
    <t>Project WITH</t>
  </si>
  <si>
    <t>WIKEN</t>
  </si>
  <si>
    <t>$0.001572</t>
  </si>
  <si>
    <t>$1,656,286</t>
  </si>
  <si>
    <t>$60,239</t>
  </si>
  <si>
    <t>1.05B</t>
  </si>
  <si>
    <t>RWA Inc.</t>
  </si>
  <si>
    <t>RWAINC</t>
  </si>
  <si>
    <t>$0.003364</t>
  </si>
  <si>
    <t>$1,653,777</t>
  </si>
  <si>
    <t>$264,639</t>
  </si>
  <si>
    <t>491.56M</t>
  </si>
  <si>
    <t>Orbit Chain</t>
  </si>
  <si>
    <t>ORC</t>
  </si>
  <si>
    <t>$0.002407</t>
  </si>
  <si>
    <t>$1,649,491</t>
  </si>
  <si>
    <t>685.09M</t>
  </si>
  <si>
    <t>AgriDex</t>
  </si>
  <si>
    <t>AGRI</t>
  </si>
  <si>
    <t>$0.005801</t>
  </si>
  <si>
    <t>$1,647,748</t>
  </si>
  <si>
    <t>$119,611</t>
  </si>
  <si>
    <t>284M</t>
  </si>
  <si>
    <t>Anome</t>
  </si>
  <si>
    <t>ANOME</t>
  </si>
  <si>
    <t>$0.05486</t>
  </si>
  <si>
    <t>$1,646,017</t>
  </si>
  <si>
    <t>$1,632,086</t>
  </si>
  <si>
    <t>30M</t>
  </si>
  <si>
    <t>VIDT DAO</t>
  </si>
  <si>
    <t>VIDT</t>
  </si>
  <si>
    <t>$0.001885</t>
  </si>
  <si>
    <t>$1,640,224</t>
  </si>
  <si>
    <t>$121,545</t>
  </si>
  <si>
    <t>869.79M</t>
  </si>
  <si>
    <t>Radiant</t>
  </si>
  <si>
    <t>RXD</t>
  </si>
  <si>
    <t>$0.0001269</t>
  </si>
  <si>
    <t>$1,637,470</t>
  </si>
  <si>
    <t>$172,807</t>
  </si>
  <si>
    <t>12.89B</t>
  </si>
  <si>
    <t>Donkey (DONKEY_BSC_MEME)</t>
  </si>
  <si>
    <t>DONKEY</t>
  </si>
  <si>
    <t>$0.001630</t>
  </si>
  <si>
    <t>0.51%</t>
  </si>
  <si>
    <t>$1,630,840</t>
  </si>
  <si>
    <t>$2,095,797</t>
  </si>
  <si>
    <t>Taraxa</t>
  </si>
  <si>
    <t>TARA</t>
  </si>
  <si>
    <t>$0.0002747</t>
  </si>
  <si>
    <t>2.30%</t>
  </si>
  <si>
    <t>$1,630,658</t>
  </si>
  <si>
    <t>$202,903</t>
  </si>
  <si>
    <t>5.93B</t>
  </si>
  <si>
    <t>Kyuzo's Friends</t>
  </si>
  <si>
    <t>KO</t>
  </si>
  <si>
    <t>$0.007490</t>
  </si>
  <si>
    <t>2.08%</t>
  </si>
  <si>
    <t>$1,629,272</t>
  </si>
  <si>
    <t>$6,640,266</t>
  </si>
  <si>
    <t>217.5M</t>
  </si>
  <si>
    <t>Minati Coin</t>
  </si>
  <si>
    <t>MNTC</t>
  </si>
  <si>
    <t>$0.2585</t>
  </si>
  <si>
    <t>$1,622,431</t>
  </si>
  <si>
    <t>$148,384</t>
  </si>
  <si>
    <t>6.27M</t>
  </si>
  <si>
    <t>Brett (ETH)</t>
  </si>
  <si>
    <t>BRETT</t>
  </si>
  <si>
    <t>$0.01966</t>
  </si>
  <si>
    <t>0.37%</t>
  </si>
  <si>
    <t>$1,364,927</t>
  </si>
  <si>
    <t>$498,471</t>
  </si>
  <si>
    <t>69.42M</t>
  </si>
  <si>
    <t>Linde plc Tokenized Stock (Ondo)</t>
  </si>
  <si>
    <t>LINon</t>
  </si>
  <si>
    <t>$420.34</t>
  </si>
  <si>
    <t>$1,361,560</t>
  </si>
  <si>
    <t>3.23K</t>
  </si>
  <si>
    <t>yesnoerror</t>
  </si>
  <si>
    <t>YNE</t>
  </si>
  <si>
    <t>$0.001360</t>
  </si>
  <si>
    <t>$1,360,623</t>
  </si>
  <si>
    <t>$325,530</t>
  </si>
  <si>
    <t>BytomDAO</t>
  </si>
  <si>
    <t>BTM</t>
  </si>
  <si>
    <t>$0.0008761</t>
  </si>
  <si>
    <t>$1,358,212</t>
  </si>
  <si>
    <t>1.55B</t>
  </si>
  <si>
    <t>LogX Network</t>
  </si>
  <si>
    <t>LOGX</t>
  </si>
  <si>
    <t>$0.002478</t>
  </si>
  <si>
    <t>$1,356,556</t>
  </si>
  <si>
    <t>$69,221</t>
  </si>
  <si>
    <t>547.33M</t>
  </si>
  <si>
    <t>Riser</t>
  </si>
  <si>
    <t>RIS</t>
  </si>
  <si>
    <t>$0.005396</t>
  </si>
  <si>
    <t>$1,349,188</t>
  </si>
  <si>
    <t>$115,146</t>
  </si>
  <si>
    <t>250M</t>
  </si>
  <si>
    <t>VICE Token</t>
  </si>
  <si>
    <t>VICE</t>
  </si>
  <si>
    <t>$0.001354</t>
  </si>
  <si>
    <t>$1,347,893</t>
  </si>
  <si>
    <t>$11,534</t>
  </si>
  <si>
    <t>995.21M</t>
  </si>
  <si>
    <t>Young Peezy AKA Pepe</t>
  </si>
  <si>
    <t>PEEZY</t>
  </si>
  <si>
    <t>$0.001347</t>
  </si>
  <si>
    <t>$1,347,859</t>
  </si>
  <si>
    <t>$3</t>
  </si>
  <si>
    <t>JMPT Rewards</t>
  </si>
  <si>
    <t>JMPT</t>
  </si>
  <si>
    <t>$0.7108</t>
  </si>
  <si>
    <t>$1,346,379</t>
  </si>
  <si>
    <t>$8,743</t>
  </si>
  <si>
    <t>1.89M</t>
  </si>
  <si>
    <t>SwarmNode.ai</t>
  </si>
  <si>
    <t>SNAI</t>
  </si>
  <si>
    <t>$0.001344</t>
  </si>
  <si>
    <t>$1,343,123</t>
  </si>
  <si>
    <t>$528,180</t>
  </si>
  <si>
    <t>998.93M</t>
  </si>
  <si>
    <t>Serum</t>
  </si>
  <si>
    <t>SRM</t>
  </si>
  <si>
    <t>$0.005090</t>
  </si>
  <si>
    <t>$1,340,163</t>
  </si>
  <si>
    <t>$94,589</t>
  </si>
  <si>
    <t>263.24M</t>
  </si>
  <si>
    <t>Amber tokenized stock (xStock)</t>
  </si>
  <si>
    <t>AMBRX</t>
  </si>
  <si>
    <t>$1.78</t>
  </si>
  <si>
    <t>$1,335,229</t>
  </si>
  <si>
    <t>$14</t>
  </si>
  <si>
    <t>745.99K</t>
  </si>
  <si>
    <t>StupidCoin</t>
  </si>
  <si>
    <t>STUPID</t>
  </si>
  <si>
    <t>$0.001340</t>
  </si>
  <si>
    <t>$1,333,124</t>
  </si>
  <si>
    <t>$876,529</t>
  </si>
  <si>
    <t>994.84M</t>
  </si>
  <si>
    <t>SuperTrust</t>
  </si>
  <si>
    <t>SUT</t>
  </si>
  <si>
    <t>$0.6569</t>
  </si>
  <si>
    <t>$1,330,087</t>
  </si>
  <si>
    <t>$3,526,156</t>
  </si>
  <si>
    <t>2.02M</t>
  </si>
  <si>
    <t>Fusion</t>
  </si>
  <si>
    <t>FSN</t>
  </si>
  <si>
    <t>$0.01699</t>
  </si>
  <si>
    <t>$1,329,457</t>
  </si>
  <si>
    <t>$5,527</t>
  </si>
  <si>
    <t>78.23M</t>
  </si>
  <si>
    <t>Circulating_Supply($)</t>
  </si>
  <si>
    <t>DollarVolume per Supply</t>
  </si>
  <si>
    <t>RANK</t>
  </si>
  <si>
    <t>Price Range</t>
  </si>
  <si>
    <t>Row Labels</t>
  </si>
  <si>
    <t>Grand Total</t>
  </si>
  <si>
    <t>Sum of Price (USD)</t>
  </si>
  <si>
    <t xml:space="preserve"> Price (USD)</t>
  </si>
  <si>
    <t>Sum of 1h Change (%)</t>
  </si>
  <si>
    <t>Sum of Circulating_Supply($)</t>
  </si>
  <si>
    <t>Sum of DollarVolume per Supply</t>
  </si>
  <si>
    <t>Sum of Market Cap</t>
  </si>
  <si>
    <t>Others</t>
  </si>
  <si>
    <t>Key Performance Indicators</t>
  </si>
  <si>
    <t>Total Market Capital</t>
  </si>
  <si>
    <t>Total Price of Coins</t>
  </si>
  <si>
    <t>Total Circulating Supply</t>
  </si>
  <si>
    <t>Highest Price Coin</t>
  </si>
  <si>
    <t>Highest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</si>
</sst>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2" borderId="0" xfId="0" applyFill="1"/>
  </cellXfs>
  <cellStyles count="1">
    <cellStyle name="Normal" xfId="0" builtinId="0"/>
  </cellStyles>
  <dxfs count="6">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FF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[Crypto_Analysis_Data_project.xlsx]pivot_charts!PivotTable1</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10 coins by price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c:f>
              <c:strCache>
                <c:ptCount val="1"/>
                <c:pt idx="0">
                  <c:v>Total</c:v>
                </c:pt>
              </c:strCache>
            </c:strRef>
          </c:tx>
          <c:spPr>
            <a:solidFill>
              <a:schemeClr val="tx1">
                <a:lumMod val="95000"/>
                <a:lumOff val="5000"/>
              </a:schemeClr>
            </a:solidFill>
            <a:ln>
              <a:noFill/>
            </a:ln>
            <a:effectLst/>
          </c:spPr>
          <c:invertIfNegative val="0"/>
          <c:cat>
            <c:strRef>
              <c:f>pivot_charts!$A$3:$A$13</c:f>
              <c:strCache>
                <c:ptCount val="10"/>
                <c:pt idx="0">
                  <c:v>Bitcoin</c:v>
                </c:pt>
                <c:pt idx="1">
                  <c:v>Matrixdock Gold</c:v>
                </c:pt>
                <c:pt idx="2">
                  <c:v>Tether Gold Tokens</c:v>
                </c:pt>
                <c:pt idx="3">
                  <c:v>Ethereum</c:v>
                </c:pt>
                <c:pt idx="4">
                  <c:v>BNB</c:v>
                </c:pt>
                <c:pt idx="5">
                  <c:v>Invesco QQQ Tokenized ETF (Ondo)</c:v>
                </c:pt>
                <c:pt idx="6">
                  <c:v>Bitcoin Cash</c:v>
                </c:pt>
                <c:pt idx="7">
                  <c:v>Microsoft Tokenized Stock (Ondo)</c:v>
                </c:pt>
                <c:pt idx="8">
                  <c:v>Monero</c:v>
                </c:pt>
                <c:pt idx="9">
                  <c:v>Alphabet Class A Tokenized Stock (Ondo)</c:v>
                </c:pt>
              </c:strCache>
            </c:strRef>
          </c:cat>
          <c:val>
            <c:numRef>
              <c:f>pivot_charts!$B$3:$B$13</c:f>
              <c:numCache>
                <c:formatCode>General</c:formatCode>
                <c:ptCount val="10"/>
                <c:pt idx="0">
                  <c:v>88617.76</c:v>
                </c:pt>
                <c:pt idx="1">
                  <c:v>4356.1000000000004</c:v>
                </c:pt>
                <c:pt idx="2">
                  <c:v>4354.6000000000004</c:v>
                </c:pt>
                <c:pt idx="3">
                  <c:v>2995.26</c:v>
                </c:pt>
                <c:pt idx="4">
                  <c:v>855.25</c:v>
                </c:pt>
                <c:pt idx="5">
                  <c:v>619.67999999999995</c:v>
                </c:pt>
                <c:pt idx="6">
                  <c:v>586.88</c:v>
                </c:pt>
                <c:pt idx="7">
                  <c:v>486.67</c:v>
                </c:pt>
                <c:pt idx="8">
                  <c:v>469.29</c:v>
                </c:pt>
                <c:pt idx="9">
                  <c:v>307.41000000000003</c:v>
                </c:pt>
              </c:numCache>
            </c:numRef>
          </c:val>
          <c:extLst>
            <c:ext xmlns:c16="http://schemas.microsoft.com/office/drawing/2014/chart" uri="{C3380CC4-5D6E-409C-BE32-E72D297353CC}">
              <c16:uniqueId val="{00000000-813E-4EAB-A861-5640F90C1B6E}"/>
            </c:ext>
          </c:extLst>
        </c:ser>
        <c:dLbls>
          <c:showLegendKey val="0"/>
          <c:showVal val="0"/>
          <c:showCatName val="0"/>
          <c:showSerName val="0"/>
          <c:showPercent val="0"/>
          <c:showBubbleSize val="0"/>
        </c:dLbls>
        <c:gapWidth val="219"/>
        <c:overlap val="-27"/>
        <c:axId val="1823468815"/>
        <c:axId val="1823478415"/>
      </c:barChart>
      <c:catAx>
        <c:axId val="182346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3478415"/>
        <c:crosses val="autoZero"/>
        <c:auto val="1"/>
        <c:lblAlgn val="ctr"/>
        <c:lblOffset val="100"/>
        <c:noMultiLvlLbl val="0"/>
      </c:catAx>
      <c:valAx>
        <c:axId val="182347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346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
          <a:schemeClr val="accent5">
            <a:lumMod val="0"/>
            <a:lumOff val="100000"/>
          </a:schemeClr>
        </a:gs>
        <a:gs pos="76000">
          <a:schemeClr val="accent5">
            <a:lumMod val="100000"/>
          </a:schemeClr>
        </a:gs>
      </a:gsLst>
      <a:path path="circle">
        <a:fillToRect l="100000" b="100000"/>
      </a:path>
      <a:tileRect t="-100000" r="-100000"/>
    </a:gradFill>
    <a:ln w="34925" cap="flat" cmpd="sng" algn="ctr">
      <a:solidFill>
        <a:schemeClr val="tx1">
          <a:lumMod val="95000"/>
          <a:lumOff val="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[Crypto_Analysis_Data_project.xlsx]pivot_charts!PivotTable2</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Most</a:t>
            </a:r>
            <a:r>
              <a:rPr lang="en-US" sz="1600" b="1" baseline="0">
                <a:solidFill>
                  <a:schemeClr val="tx1"/>
                </a:solidFill>
              </a:rPr>
              <a:t> Change in 1hour</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pivot_charts!$B$25</c:f>
              <c:strCache>
                <c:ptCount val="1"/>
                <c:pt idx="0">
                  <c:v>Total</c:v>
                </c:pt>
              </c:strCache>
            </c:strRef>
          </c:tx>
          <c:spPr>
            <a:solidFill>
              <a:schemeClr val="accent1"/>
            </a:solidFill>
            <a:ln>
              <a:noFill/>
            </a:ln>
            <a:effectLst/>
            <a:sp3d/>
          </c:spPr>
          <c:invertIfNegative val="0"/>
          <c:cat>
            <c:strRef>
              <c:f>pivot_charts!$A$26:$A$36</c:f>
              <c:strCache>
                <c:ptCount val="10"/>
                <c:pt idx="0">
                  <c:v>AS Roma Fan Token</c:v>
                </c:pt>
                <c:pt idx="1">
                  <c:v>Bless</c:v>
                </c:pt>
                <c:pt idx="2">
                  <c:v>Cortex</c:v>
                </c:pt>
                <c:pt idx="3">
                  <c:v>Daddy Tate</c:v>
                </c:pt>
                <c:pt idx="4">
                  <c:v>Doodles</c:v>
                </c:pt>
                <c:pt idx="5">
                  <c:v>Infrared</c:v>
                </c:pt>
                <c:pt idx="6">
                  <c:v>Mango</c:v>
                </c:pt>
                <c:pt idx="7">
                  <c:v>PayAI Network</c:v>
                </c:pt>
                <c:pt idx="8">
                  <c:v>Rizzmas</c:v>
                </c:pt>
                <c:pt idx="9">
                  <c:v>Russell</c:v>
                </c:pt>
              </c:strCache>
            </c:strRef>
          </c:cat>
          <c:val>
            <c:numRef>
              <c:f>pivot_charts!$B$26:$B$36</c:f>
              <c:numCache>
                <c:formatCode>General</c:formatCode>
                <c:ptCount val="10"/>
                <c:pt idx="0">
                  <c:v>9.5899999999999999E-2</c:v>
                </c:pt>
                <c:pt idx="1">
                  <c:v>3.9699999999999999E-2</c:v>
                </c:pt>
                <c:pt idx="2">
                  <c:v>7.9399999999999998E-2</c:v>
                </c:pt>
                <c:pt idx="3">
                  <c:v>4.7600000000000003E-2</c:v>
                </c:pt>
                <c:pt idx="4">
                  <c:v>5.4899999999999997E-2</c:v>
                </c:pt>
                <c:pt idx="5">
                  <c:v>0.1008</c:v>
                </c:pt>
                <c:pt idx="6">
                  <c:v>0.1186</c:v>
                </c:pt>
                <c:pt idx="7">
                  <c:v>6.8000000000000005E-2</c:v>
                </c:pt>
                <c:pt idx="8">
                  <c:v>3.5799999999999998E-2</c:v>
                </c:pt>
                <c:pt idx="9">
                  <c:v>0.04</c:v>
                </c:pt>
              </c:numCache>
            </c:numRef>
          </c:val>
          <c:extLst>
            <c:ext xmlns:c16="http://schemas.microsoft.com/office/drawing/2014/chart" uri="{C3380CC4-5D6E-409C-BE32-E72D297353CC}">
              <c16:uniqueId val="{00000000-A17E-4EAB-A478-9FF43D257DE8}"/>
            </c:ext>
          </c:extLst>
        </c:ser>
        <c:dLbls>
          <c:showLegendKey val="0"/>
          <c:showVal val="0"/>
          <c:showCatName val="0"/>
          <c:showSerName val="0"/>
          <c:showPercent val="0"/>
          <c:showBubbleSize val="0"/>
        </c:dLbls>
        <c:gapWidth val="150"/>
        <c:shape val="box"/>
        <c:axId val="1091292912"/>
        <c:axId val="1091292432"/>
        <c:axId val="0"/>
      </c:bar3DChart>
      <c:catAx>
        <c:axId val="10912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91292432"/>
        <c:crosses val="autoZero"/>
        <c:auto val="1"/>
        <c:lblAlgn val="ctr"/>
        <c:lblOffset val="100"/>
        <c:noMultiLvlLbl val="0"/>
      </c:catAx>
      <c:valAx>
        <c:axId val="1091292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100000">
          <a:schemeClr val="accent5">
            <a:lumMod val="100000"/>
          </a:schemeClr>
        </a:gs>
      </a:gsLst>
      <a:path path="circle">
        <a:fillToRect l="50000" t="50000" r="50000" b="50000"/>
      </a:path>
      <a:tileRect/>
    </a:gradFill>
    <a:ln w="34925" cap="sq" cmpd="sng" algn="ctr">
      <a:solidFill>
        <a:schemeClr val="tx1">
          <a:lumMod val="95000"/>
          <a:lumOff val="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[Crypto_Analysis_Data_project.xlsx]pivot_charts!PivotTable4</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Price Vs</a:t>
            </a:r>
            <a:r>
              <a:rPr lang="en-IN" sz="1400" b="1" baseline="0">
                <a:solidFill>
                  <a:schemeClr val="tx1"/>
                </a:solidFill>
              </a:rPr>
              <a:t> Dollar Supply</a:t>
            </a:r>
            <a:endParaRPr lang="en-IN" sz="1400" b="1">
              <a:solidFill>
                <a:schemeClr val="tx1"/>
              </a:solidFill>
            </a:endParaRPr>
          </a:p>
        </c:rich>
      </c:tx>
      <c:overlay val="0"/>
      <c:spPr>
        <a:noFill/>
        <a:ln>
          <a:noFill/>
        </a:ln>
        <a:effectLst>
          <a:glow rad="63500">
            <a:schemeClr val="accent2">
              <a:satMod val="175000"/>
              <a:alpha val="40000"/>
            </a:schemeClr>
          </a:glow>
          <a:innerShdw blurRad="114300">
            <a:prstClr val="black"/>
          </a:innerShdw>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pivot_charts!$C$43</c:f>
              <c:strCache>
                <c:ptCount val="1"/>
                <c:pt idx="0">
                  <c:v>Sum of Price (USD)</c:v>
                </c:pt>
              </c:strCache>
            </c:strRef>
          </c:tx>
          <c:spPr>
            <a:solidFill>
              <a:schemeClr val="tx1"/>
            </a:solidFill>
            <a:ln>
              <a:noFill/>
            </a:ln>
            <a:effectLst/>
          </c:spPr>
          <c:invertIfNegative val="0"/>
          <c:cat>
            <c:strRef>
              <c:f>pivot_charts!$B$44:$B$54</c:f>
              <c:strCache>
                <c:ptCount val="10"/>
                <c:pt idx="0">
                  <c:v>Alphabet Class A Tokenized Stock (Ondo)</c:v>
                </c:pt>
                <c:pt idx="1">
                  <c:v>Bitcoin</c:v>
                </c:pt>
                <c:pt idx="2">
                  <c:v>Bitcoin Cash</c:v>
                </c:pt>
                <c:pt idx="3">
                  <c:v>BNB</c:v>
                </c:pt>
                <c:pt idx="4">
                  <c:v>Ethereum</c:v>
                </c:pt>
                <c:pt idx="5">
                  <c:v>Invesco QQQ Tokenized ETF (Ondo)</c:v>
                </c:pt>
                <c:pt idx="6">
                  <c:v>Matrixdock Gold</c:v>
                </c:pt>
                <c:pt idx="7">
                  <c:v>Microsoft Tokenized Stock (Ondo)</c:v>
                </c:pt>
                <c:pt idx="8">
                  <c:v>Monero</c:v>
                </c:pt>
                <c:pt idx="9">
                  <c:v>Tether Gold Tokens</c:v>
                </c:pt>
              </c:strCache>
            </c:strRef>
          </c:cat>
          <c:val>
            <c:numRef>
              <c:f>pivot_charts!$C$44:$C$54</c:f>
              <c:numCache>
                <c:formatCode>General</c:formatCode>
                <c:ptCount val="10"/>
                <c:pt idx="0">
                  <c:v>307.41000000000003</c:v>
                </c:pt>
                <c:pt idx="1">
                  <c:v>88617.76</c:v>
                </c:pt>
                <c:pt idx="2">
                  <c:v>586.88</c:v>
                </c:pt>
                <c:pt idx="3">
                  <c:v>855.25</c:v>
                </c:pt>
                <c:pt idx="4">
                  <c:v>2995.26</c:v>
                </c:pt>
                <c:pt idx="5">
                  <c:v>619.67999999999995</c:v>
                </c:pt>
                <c:pt idx="6">
                  <c:v>4356.1000000000004</c:v>
                </c:pt>
                <c:pt idx="7">
                  <c:v>486.67</c:v>
                </c:pt>
                <c:pt idx="8">
                  <c:v>469.29</c:v>
                </c:pt>
                <c:pt idx="9">
                  <c:v>4354.6000000000004</c:v>
                </c:pt>
              </c:numCache>
            </c:numRef>
          </c:val>
          <c:extLst>
            <c:ext xmlns:c16="http://schemas.microsoft.com/office/drawing/2014/chart" uri="{C3380CC4-5D6E-409C-BE32-E72D297353CC}">
              <c16:uniqueId val="{00000000-C219-4706-924C-6E1ABBEE676A}"/>
            </c:ext>
          </c:extLst>
        </c:ser>
        <c:ser>
          <c:idx val="1"/>
          <c:order val="1"/>
          <c:tx>
            <c:strRef>
              <c:f>pivot_charts!$D$43</c:f>
              <c:strCache>
                <c:ptCount val="1"/>
                <c:pt idx="0">
                  <c:v>Sum of DollarVolume per Supply</c:v>
                </c:pt>
              </c:strCache>
            </c:strRef>
          </c:tx>
          <c:spPr>
            <a:solidFill>
              <a:schemeClr val="accent2"/>
            </a:solidFill>
            <a:ln>
              <a:noFill/>
            </a:ln>
            <a:effectLst/>
          </c:spPr>
          <c:invertIfNegative val="0"/>
          <c:cat>
            <c:strRef>
              <c:f>pivot_charts!$B$44:$B$54</c:f>
              <c:strCache>
                <c:ptCount val="10"/>
                <c:pt idx="0">
                  <c:v>Alphabet Class A Tokenized Stock (Ondo)</c:v>
                </c:pt>
                <c:pt idx="1">
                  <c:v>Bitcoin</c:v>
                </c:pt>
                <c:pt idx="2">
                  <c:v>Bitcoin Cash</c:v>
                </c:pt>
                <c:pt idx="3">
                  <c:v>BNB</c:v>
                </c:pt>
                <c:pt idx="4">
                  <c:v>Ethereum</c:v>
                </c:pt>
                <c:pt idx="5">
                  <c:v>Invesco QQQ Tokenized ETF (Ondo)</c:v>
                </c:pt>
                <c:pt idx="6">
                  <c:v>Matrixdock Gold</c:v>
                </c:pt>
                <c:pt idx="7">
                  <c:v>Microsoft Tokenized Stock (Ondo)</c:v>
                </c:pt>
                <c:pt idx="8">
                  <c:v>Monero</c:v>
                </c:pt>
                <c:pt idx="9">
                  <c:v>Tether Gold Tokens</c:v>
                </c:pt>
              </c:strCache>
            </c:strRef>
          </c:cat>
          <c:val>
            <c:numRef>
              <c:f>pivot_charts!$D$44:$D$54</c:f>
              <c:numCache>
                <c:formatCode>General</c:formatCode>
                <c:ptCount val="10"/>
                <c:pt idx="0">
                  <c:v>7.0980963855421688</c:v>
                </c:pt>
                <c:pt idx="1">
                  <c:v>796.59852344689375</c:v>
                </c:pt>
                <c:pt idx="2">
                  <c:v>14.735925501002004</c:v>
                </c:pt>
                <c:pt idx="3">
                  <c:v>10.036704828287229</c:v>
                </c:pt>
                <c:pt idx="4">
                  <c:v>67.996661918965941</c:v>
                </c:pt>
                <c:pt idx="5">
                  <c:v>8.9811365664980656</c:v>
                </c:pt>
                <c:pt idx="6">
                  <c:v>10.069775187343881</c:v>
                </c:pt>
                <c:pt idx="7">
                  <c:v>41.506578947368418</c:v>
                </c:pt>
                <c:pt idx="8">
                  <c:v>11.575068546637745</c:v>
                </c:pt>
                <c:pt idx="9">
                  <c:v>41.454545454545453</c:v>
                </c:pt>
              </c:numCache>
            </c:numRef>
          </c:val>
          <c:extLst>
            <c:ext xmlns:c16="http://schemas.microsoft.com/office/drawing/2014/chart" uri="{C3380CC4-5D6E-409C-BE32-E72D297353CC}">
              <c16:uniqueId val="{00000001-C219-4706-924C-6E1ABBEE676A}"/>
            </c:ext>
          </c:extLst>
        </c:ser>
        <c:dLbls>
          <c:showLegendKey val="0"/>
          <c:showVal val="0"/>
          <c:showCatName val="0"/>
          <c:showSerName val="0"/>
          <c:showPercent val="0"/>
          <c:showBubbleSize val="0"/>
        </c:dLbls>
        <c:gapWidth val="219"/>
        <c:overlap val="-27"/>
        <c:axId val="1093856896"/>
        <c:axId val="1093858336"/>
      </c:barChart>
      <c:catAx>
        <c:axId val="109385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3858336"/>
        <c:crosses val="autoZero"/>
        <c:auto val="1"/>
        <c:lblAlgn val="ctr"/>
        <c:lblOffset val="100"/>
        <c:noMultiLvlLbl val="0"/>
      </c:catAx>
      <c:valAx>
        <c:axId val="109385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385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67000"/>
          </a:schemeClr>
        </a:gs>
        <a:gs pos="23000">
          <a:schemeClr val="accent5">
            <a:lumMod val="60000"/>
            <a:lumOff val="40000"/>
          </a:schemeClr>
        </a:gs>
      </a:gsLst>
      <a:lin ang="2700000" scaled="1"/>
      <a:tileRect/>
    </a:gradFill>
    <a:ln w="31750" cap="flat" cmpd="sng" algn="ctr">
      <a:solidFill>
        <a:schemeClr val="tx1">
          <a:lumMod val="95000"/>
          <a:lumOff val="5000"/>
        </a:schemeClr>
      </a:solidFill>
      <a:round/>
    </a:ln>
    <a:effectLst>
      <a:glow rad="63500">
        <a:schemeClr val="accent5">
          <a:satMod val="175000"/>
          <a:alpha val="40000"/>
        </a:schemeClr>
      </a:glow>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 Market Capital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strRef>
              <c:f>pivot_charts!$P$11</c:f>
              <c:strCache>
                <c:ptCount val="1"/>
                <c:pt idx="0">
                  <c:v>Sum of Market Cap</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D7-4CE3-9049-BB1637BFF7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D7-4CE3-9049-BB1637BFF72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D7-4CE3-9049-BB1637BFF72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DD7-4CE3-9049-BB1637BFF72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DD7-4CE3-9049-BB1637BFF72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pivot_charts!$O$12:$O$17</c15:sqref>
                  </c15:fullRef>
                </c:ext>
              </c:extLst>
              <c:f>pivot_charts!$O$12:$O$16</c:f>
              <c:strCache>
                <c:ptCount val="5"/>
                <c:pt idx="0">
                  <c:v>0x0.ai</c:v>
                </c:pt>
                <c:pt idx="1">
                  <c:v>Act I : The AI Prophecy</c:v>
                </c:pt>
                <c:pt idx="2">
                  <c:v>Adshares</c:v>
                </c:pt>
                <c:pt idx="3">
                  <c:v>aelf</c:v>
                </c:pt>
                <c:pt idx="4">
                  <c:v>Aerobud</c:v>
                </c:pt>
              </c:strCache>
            </c:strRef>
          </c:cat>
          <c:val>
            <c:numRef>
              <c:extLst>
                <c:ext xmlns:c15="http://schemas.microsoft.com/office/drawing/2012/chart" uri="{02D57815-91ED-43cb-92C2-25804820EDAC}">
                  <c15:fullRef>
                    <c15:sqref>pivot_charts!$P$12:$P$17</c15:sqref>
                  </c15:fullRef>
                </c:ext>
              </c:extLst>
              <c:f>pivot_charts!$P$12:$P$16</c:f>
              <c:numCache>
                <c:formatCode>General</c:formatCode>
                <c:ptCount val="5"/>
                <c:pt idx="0">
                  <c:v>7953928</c:v>
                </c:pt>
                <c:pt idx="1">
                  <c:v>37344308</c:v>
                </c:pt>
                <c:pt idx="2">
                  <c:v>27987125</c:v>
                </c:pt>
                <c:pt idx="3">
                  <c:v>76645429</c:v>
                </c:pt>
                <c:pt idx="4">
                  <c:v>2061941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0FCB-4254-AF8A-8EA3AC49FC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100000">
          <a:schemeClr val="accent5">
            <a:lumMod val="100000"/>
          </a:schemeClr>
        </a:gs>
      </a:gsLst>
      <a:path path="circle">
        <a:fillToRect l="50000" t="50000" r="50000" b="5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[Crypto_Analysis_Data_project.xlsx]pivot_charts!PivotTable1</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10 coins by price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lumMod val="95000"/>
              <a:lumOff val="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tx1">
              <a:lumMod val="95000"/>
              <a:lumOff val="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c:f>
              <c:strCache>
                <c:ptCount val="1"/>
                <c:pt idx="0">
                  <c:v>Total</c:v>
                </c:pt>
              </c:strCache>
            </c:strRef>
          </c:tx>
          <c:spPr>
            <a:solidFill>
              <a:schemeClr val="tx1">
                <a:lumMod val="95000"/>
                <a:lumOff val="5000"/>
              </a:schemeClr>
            </a:solidFill>
            <a:ln>
              <a:noFill/>
            </a:ln>
            <a:effectLst/>
          </c:spPr>
          <c:invertIfNegative val="0"/>
          <c:cat>
            <c:strRef>
              <c:f>pivot_charts!$A$3:$A$13</c:f>
              <c:strCache>
                <c:ptCount val="10"/>
                <c:pt idx="0">
                  <c:v>Bitcoin</c:v>
                </c:pt>
                <c:pt idx="1">
                  <c:v>Matrixdock Gold</c:v>
                </c:pt>
                <c:pt idx="2">
                  <c:v>Tether Gold Tokens</c:v>
                </c:pt>
                <c:pt idx="3">
                  <c:v>Ethereum</c:v>
                </c:pt>
                <c:pt idx="4">
                  <c:v>BNB</c:v>
                </c:pt>
                <c:pt idx="5">
                  <c:v>Invesco QQQ Tokenized ETF (Ondo)</c:v>
                </c:pt>
                <c:pt idx="6">
                  <c:v>Bitcoin Cash</c:v>
                </c:pt>
                <c:pt idx="7">
                  <c:v>Microsoft Tokenized Stock (Ondo)</c:v>
                </c:pt>
                <c:pt idx="8">
                  <c:v>Monero</c:v>
                </c:pt>
                <c:pt idx="9">
                  <c:v>Alphabet Class A Tokenized Stock (Ondo)</c:v>
                </c:pt>
              </c:strCache>
            </c:strRef>
          </c:cat>
          <c:val>
            <c:numRef>
              <c:f>pivot_charts!$B$3:$B$13</c:f>
              <c:numCache>
                <c:formatCode>General</c:formatCode>
                <c:ptCount val="10"/>
                <c:pt idx="0">
                  <c:v>88617.76</c:v>
                </c:pt>
                <c:pt idx="1">
                  <c:v>4356.1000000000004</c:v>
                </c:pt>
                <c:pt idx="2">
                  <c:v>4354.6000000000004</c:v>
                </c:pt>
                <c:pt idx="3">
                  <c:v>2995.26</c:v>
                </c:pt>
                <c:pt idx="4">
                  <c:v>855.25</c:v>
                </c:pt>
                <c:pt idx="5">
                  <c:v>619.67999999999995</c:v>
                </c:pt>
                <c:pt idx="6">
                  <c:v>586.88</c:v>
                </c:pt>
                <c:pt idx="7">
                  <c:v>486.67</c:v>
                </c:pt>
                <c:pt idx="8">
                  <c:v>469.29</c:v>
                </c:pt>
                <c:pt idx="9">
                  <c:v>307.41000000000003</c:v>
                </c:pt>
              </c:numCache>
            </c:numRef>
          </c:val>
          <c:extLst>
            <c:ext xmlns:c16="http://schemas.microsoft.com/office/drawing/2014/chart" uri="{C3380CC4-5D6E-409C-BE32-E72D297353CC}">
              <c16:uniqueId val="{00000000-39FB-4A65-B089-BBD6F08C397E}"/>
            </c:ext>
          </c:extLst>
        </c:ser>
        <c:dLbls>
          <c:showLegendKey val="0"/>
          <c:showVal val="0"/>
          <c:showCatName val="0"/>
          <c:showSerName val="0"/>
          <c:showPercent val="0"/>
          <c:showBubbleSize val="0"/>
        </c:dLbls>
        <c:gapWidth val="219"/>
        <c:overlap val="-27"/>
        <c:axId val="1823468815"/>
        <c:axId val="1823478415"/>
      </c:barChart>
      <c:catAx>
        <c:axId val="182346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3478415"/>
        <c:crosses val="autoZero"/>
        <c:auto val="1"/>
        <c:lblAlgn val="ctr"/>
        <c:lblOffset val="100"/>
        <c:noMultiLvlLbl val="0"/>
      </c:catAx>
      <c:valAx>
        <c:axId val="182347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346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
          <a:schemeClr val="accent5">
            <a:lumMod val="0"/>
            <a:lumOff val="100000"/>
          </a:schemeClr>
        </a:gs>
        <a:gs pos="76000">
          <a:schemeClr val="accent5">
            <a:lumMod val="100000"/>
          </a:schemeClr>
        </a:gs>
      </a:gsLst>
      <a:path path="circle">
        <a:fillToRect l="100000" b="100000"/>
      </a:path>
      <a:tileRect t="-100000" r="-100000"/>
    </a:gradFill>
    <a:ln w="34925" cap="flat" cmpd="sng" algn="ctr">
      <a:solidFill>
        <a:schemeClr val="tx1">
          <a:lumMod val="95000"/>
          <a:lumOff val="5000"/>
        </a:schemeClr>
      </a:solidFill>
      <a:round/>
    </a:ln>
    <a:effectLst>
      <a:glow rad="228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[Crypto_Analysis_Data_project.xlsx]pivot_charts!PivotTable2</c:name>
    <c:fmtId val="1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Most</a:t>
            </a:r>
            <a:r>
              <a:rPr lang="en-US" sz="1600" b="1" baseline="0">
                <a:solidFill>
                  <a:schemeClr val="tx1"/>
                </a:solidFill>
              </a:rPr>
              <a:t> Change in 1hour</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pivot_charts!$B$25</c:f>
              <c:strCache>
                <c:ptCount val="1"/>
                <c:pt idx="0">
                  <c:v>Total</c:v>
                </c:pt>
              </c:strCache>
            </c:strRef>
          </c:tx>
          <c:spPr>
            <a:solidFill>
              <a:schemeClr val="accent1"/>
            </a:solidFill>
            <a:ln>
              <a:noFill/>
            </a:ln>
            <a:effectLst/>
            <a:sp3d/>
          </c:spPr>
          <c:invertIfNegative val="0"/>
          <c:cat>
            <c:strRef>
              <c:f>pivot_charts!$A$26:$A$36</c:f>
              <c:strCache>
                <c:ptCount val="10"/>
                <c:pt idx="0">
                  <c:v>AS Roma Fan Token</c:v>
                </c:pt>
                <c:pt idx="1">
                  <c:v>Bless</c:v>
                </c:pt>
                <c:pt idx="2">
                  <c:v>Cortex</c:v>
                </c:pt>
                <c:pt idx="3">
                  <c:v>Daddy Tate</c:v>
                </c:pt>
                <c:pt idx="4">
                  <c:v>Doodles</c:v>
                </c:pt>
                <c:pt idx="5">
                  <c:v>Infrared</c:v>
                </c:pt>
                <c:pt idx="6">
                  <c:v>Mango</c:v>
                </c:pt>
                <c:pt idx="7">
                  <c:v>PayAI Network</c:v>
                </c:pt>
                <c:pt idx="8">
                  <c:v>Rizzmas</c:v>
                </c:pt>
                <c:pt idx="9">
                  <c:v>Russell</c:v>
                </c:pt>
              </c:strCache>
            </c:strRef>
          </c:cat>
          <c:val>
            <c:numRef>
              <c:f>pivot_charts!$B$26:$B$36</c:f>
              <c:numCache>
                <c:formatCode>General</c:formatCode>
                <c:ptCount val="10"/>
                <c:pt idx="0">
                  <c:v>9.5899999999999999E-2</c:v>
                </c:pt>
                <c:pt idx="1">
                  <c:v>3.9699999999999999E-2</c:v>
                </c:pt>
                <c:pt idx="2">
                  <c:v>7.9399999999999998E-2</c:v>
                </c:pt>
                <c:pt idx="3">
                  <c:v>4.7600000000000003E-2</c:v>
                </c:pt>
                <c:pt idx="4">
                  <c:v>5.4899999999999997E-2</c:v>
                </c:pt>
                <c:pt idx="5">
                  <c:v>0.1008</c:v>
                </c:pt>
                <c:pt idx="6">
                  <c:v>0.1186</c:v>
                </c:pt>
                <c:pt idx="7">
                  <c:v>6.8000000000000005E-2</c:v>
                </c:pt>
                <c:pt idx="8">
                  <c:v>3.5799999999999998E-2</c:v>
                </c:pt>
                <c:pt idx="9">
                  <c:v>0.04</c:v>
                </c:pt>
              </c:numCache>
            </c:numRef>
          </c:val>
          <c:extLst>
            <c:ext xmlns:c16="http://schemas.microsoft.com/office/drawing/2014/chart" uri="{C3380CC4-5D6E-409C-BE32-E72D297353CC}">
              <c16:uniqueId val="{00000000-297C-4C6E-BDD6-64107F499841}"/>
            </c:ext>
          </c:extLst>
        </c:ser>
        <c:dLbls>
          <c:showLegendKey val="0"/>
          <c:showVal val="0"/>
          <c:showCatName val="0"/>
          <c:showSerName val="0"/>
          <c:showPercent val="0"/>
          <c:showBubbleSize val="0"/>
        </c:dLbls>
        <c:gapWidth val="150"/>
        <c:shape val="box"/>
        <c:axId val="1091292912"/>
        <c:axId val="1091292432"/>
        <c:axId val="0"/>
      </c:bar3DChart>
      <c:catAx>
        <c:axId val="10912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91292432"/>
        <c:crosses val="autoZero"/>
        <c:auto val="1"/>
        <c:lblAlgn val="ctr"/>
        <c:lblOffset val="100"/>
        <c:noMultiLvlLbl val="0"/>
      </c:catAx>
      <c:valAx>
        <c:axId val="1091292432"/>
        <c:scaling>
          <c:orientation val="minMax"/>
        </c:scaling>
        <c:delete val="0"/>
        <c:axPos val="b"/>
        <c:majorGridlines>
          <c:spPr>
            <a:ln w="9525" cap="flat" cmpd="sng" algn="ctr">
              <a:solidFill>
                <a:schemeClr val="tx1">
                  <a:lumMod val="15000"/>
                  <a:lumOff val="85000"/>
                </a:schemeClr>
              </a:solidFill>
              <a:round/>
            </a:ln>
            <a:effectLst>
              <a:outerShdw blurRad="50800" dist="38100" dir="16200000" rotWithShape="0">
                <a:srgbClr val="0070C0">
                  <a:alpha val="40000"/>
                </a:srgb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100000">
          <a:schemeClr val="accent5">
            <a:lumMod val="100000"/>
          </a:schemeClr>
        </a:gs>
      </a:gsLst>
      <a:path path="circle">
        <a:fillToRect l="50000" t="50000" r="50000" b="50000"/>
      </a:path>
      <a:tileRect/>
    </a:gradFill>
    <a:ln w="34925" cap="sq" cmpd="sng" algn="ctr">
      <a:solidFill>
        <a:schemeClr val="tx1">
          <a:lumMod val="95000"/>
          <a:lumOff val="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[Crypto_Analysis_Data_project.xlsx]pivot_charts!PivotTable4</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Price Vs</a:t>
            </a:r>
            <a:r>
              <a:rPr lang="en-IN" sz="1400" b="1" baseline="0">
                <a:solidFill>
                  <a:schemeClr val="tx1"/>
                </a:solidFill>
              </a:rPr>
              <a:t> Dollar Supply</a:t>
            </a:r>
            <a:endParaRPr lang="en-IN" sz="1400" b="1">
              <a:solidFill>
                <a:schemeClr val="tx1"/>
              </a:solidFill>
            </a:endParaRPr>
          </a:p>
        </c:rich>
      </c:tx>
      <c:overlay val="0"/>
      <c:spPr>
        <a:noFill/>
        <a:ln>
          <a:noFill/>
        </a:ln>
        <a:effectLst>
          <a:glow rad="63500">
            <a:schemeClr val="accent2">
              <a:satMod val="175000"/>
              <a:alpha val="40000"/>
            </a:schemeClr>
          </a:glow>
          <a:innerShdw blurRad="114300">
            <a:prstClr val="black"/>
          </a:innerShdw>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pivot_charts!$C$43</c:f>
              <c:strCache>
                <c:ptCount val="1"/>
                <c:pt idx="0">
                  <c:v>Sum of Price (USD)</c:v>
                </c:pt>
              </c:strCache>
            </c:strRef>
          </c:tx>
          <c:spPr>
            <a:solidFill>
              <a:schemeClr val="tx1"/>
            </a:solidFill>
            <a:ln>
              <a:noFill/>
            </a:ln>
            <a:effectLst/>
          </c:spPr>
          <c:invertIfNegative val="0"/>
          <c:cat>
            <c:strRef>
              <c:f>pivot_charts!$B$44:$B$54</c:f>
              <c:strCache>
                <c:ptCount val="10"/>
                <c:pt idx="0">
                  <c:v>Alphabet Class A Tokenized Stock (Ondo)</c:v>
                </c:pt>
                <c:pt idx="1">
                  <c:v>Bitcoin</c:v>
                </c:pt>
                <c:pt idx="2">
                  <c:v>Bitcoin Cash</c:v>
                </c:pt>
                <c:pt idx="3">
                  <c:v>BNB</c:v>
                </c:pt>
                <c:pt idx="4">
                  <c:v>Ethereum</c:v>
                </c:pt>
                <c:pt idx="5">
                  <c:v>Invesco QQQ Tokenized ETF (Ondo)</c:v>
                </c:pt>
                <c:pt idx="6">
                  <c:v>Matrixdock Gold</c:v>
                </c:pt>
                <c:pt idx="7">
                  <c:v>Microsoft Tokenized Stock (Ondo)</c:v>
                </c:pt>
                <c:pt idx="8">
                  <c:v>Monero</c:v>
                </c:pt>
                <c:pt idx="9">
                  <c:v>Tether Gold Tokens</c:v>
                </c:pt>
              </c:strCache>
            </c:strRef>
          </c:cat>
          <c:val>
            <c:numRef>
              <c:f>pivot_charts!$C$44:$C$54</c:f>
              <c:numCache>
                <c:formatCode>General</c:formatCode>
                <c:ptCount val="10"/>
                <c:pt idx="0">
                  <c:v>307.41000000000003</c:v>
                </c:pt>
                <c:pt idx="1">
                  <c:v>88617.76</c:v>
                </c:pt>
                <c:pt idx="2">
                  <c:v>586.88</c:v>
                </c:pt>
                <c:pt idx="3">
                  <c:v>855.25</c:v>
                </c:pt>
                <c:pt idx="4">
                  <c:v>2995.26</c:v>
                </c:pt>
                <c:pt idx="5">
                  <c:v>619.67999999999995</c:v>
                </c:pt>
                <c:pt idx="6">
                  <c:v>4356.1000000000004</c:v>
                </c:pt>
                <c:pt idx="7">
                  <c:v>486.67</c:v>
                </c:pt>
                <c:pt idx="8">
                  <c:v>469.29</c:v>
                </c:pt>
                <c:pt idx="9">
                  <c:v>4354.6000000000004</c:v>
                </c:pt>
              </c:numCache>
            </c:numRef>
          </c:val>
          <c:extLst>
            <c:ext xmlns:c16="http://schemas.microsoft.com/office/drawing/2014/chart" uri="{C3380CC4-5D6E-409C-BE32-E72D297353CC}">
              <c16:uniqueId val="{00000000-C513-4A89-B999-5C42FE44D564}"/>
            </c:ext>
          </c:extLst>
        </c:ser>
        <c:ser>
          <c:idx val="1"/>
          <c:order val="1"/>
          <c:tx>
            <c:strRef>
              <c:f>pivot_charts!$D$43</c:f>
              <c:strCache>
                <c:ptCount val="1"/>
                <c:pt idx="0">
                  <c:v>Sum of DollarVolume per Supply</c:v>
                </c:pt>
              </c:strCache>
            </c:strRef>
          </c:tx>
          <c:spPr>
            <a:solidFill>
              <a:schemeClr val="accent2"/>
            </a:solidFill>
            <a:ln>
              <a:noFill/>
            </a:ln>
            <a:effectLst/>
          </c:spPr>
          <c:invertIfNegative val="0"/>
          <c:cat>
            <c:strRef>
              <c:f>pivot_charts!$B$44:$B$54</c:f>
              <c:strCache>
                <c:ptCount val="10"/>
                <c:pt idx="0">
                  <c:v>Alphabet Class A Tokenized Stock (Ondo)</c:v>
                </c:pt>
                <c:pt idx="1">
                  <c:v>Bitcoin</c:v>
                </c:pt>
                <c:pt idx="2">
                  <c:v>Bitcoin Cash</c:v>
                </c:pt>
                <c:pt idx="3">
                  <c:v>BNB</c:v>
                </c:pt>
                <c:pt idx="4">
                  <c:v>Ethereum</c:v>
                </c:pt>
                <c:pt idx="5">
                  <c:v>Invesco QQQ Tokenized ETF (Ondo)</c:v>
                </c:pt>
                <c:pt idx="6">
                  <c:v>Matrixdock Gold</c:v>
                </c:pt>
                <c:pt idx="7">
                  <c:v>Microsoft Tokenized Stock (Ondo)</c:v>
                </c:pt>
                <c:pt idx="8">
                  <c:v>Monero</c:v>
                </c:pt>
                <c:pt idx="9">
                  <c:v>Tether Gold Tokens</c:v>
                </c:pt>
              </c:strCache>
            </c:strRef>
          </c:cat>
          <c:val>
            <c:numRef>
              <c:f>pivot_charts!$D$44:$D$54</c:f>
              <c:numCache>
                <c:formatCode>General</c:formatCode>
                <c:ptCount val="10"/>
                <c:pt idx="0">
                  <c:v>7.0980963855421688</c:v>
                </c:pt>
                <c:pt idx="1">
                  <c:v>796.59852344689375</c:v>
                </c:pt>
                <c:pt idx="2">
                  <c:v>14.735925501002004</c:v>
                </c:pt>
                <c:pt idx="3">
                  <c:v>10.036704828287229</c:v>
                </c:pt>
                <c:pt idx="4">
                  <c:v>67.996661918965941</c:v>
                </c:pt>
                <c:pt idx="5">
                  <c:v>8.9811365664980656</c:v>
                </c:pt>
                <c:pt idx="6">
                  <c:v>10.069775187343881</c:v>
                </c:pt>
                <c:pt idx="7">
                  <c:v>41.506578947368418</c:v>
                </c:pt>
                <c:pt idx="8">
                  <c:v>11.575068546637745</c:v>
                </c:pt>
                <c:pt idx="9">
                  <c:v>41.454545454545453</c:v>
                </c:pt>
              </c:numCache>
            </c:numRef>
          </c:val>
          <c:extLst>
            <c:ext xmlns:c16="http://schemas.microsoft.com/office/drawing/2014/chart" uri="{C3380CC4-5D6E-409C-BE32-E72D297353CC}">
              <c16:uniqueId val="{00000001-C513-4A89-B999-5C42FE44D564}"/>
            </c:ext>
          </c:extLst>
        </c:ser>
        <c:dLbls>
          <c:showLegendKey val="0"/>
          <c:showVal val="0"/>
          <c:showCatName val="0"/>
          <c:showSerName val="0"/>
          <c:showPercent val="0"/>
          <c:showBubbleSize val="0"/>
        </c:dLbls>
        <c:gapWidth val="219"/>
        <c:overlap val="-27"/>
        <c:axId val="1093856896"/>
        <c:axId val="1093858336"/>
      </c:barChart>
      <c:catAx>
        <c:axId val="109385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3858336"/>
        <c:crosses val="autoZero"/>
        <c:auto val="1"/>
        <c:lblAlgn val="ctr"/>
        <c:lblOffset val="100"/>
        <c:noMultiLvlLbl val="0"/>
      </c:catAx>
      <c:valAx>
        <c:axId val="109385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385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67000"/>
          </a:schemeClr>
        </a:gs>
        <a:gs pos="23000">
          <a:schemeClr val="accent5">
            <a:lumMod val="60000"/>
            <a:lumOff val="40000"/>
          </a:schemeClr>
        </a:gs>
      </a:gsLst>
      <a:lin ang="2700000" scaled="1"/>
      <a:tileRect/>
    </a:gradFill>
    <a:ln w="31750" cap="flat" cmpd="sng" algn="ctr">
      <a:solidFill>
        <a:schemeClr val="tx1">
          <a:lumMod val="95000"/>
          <a:lumOff val="5000"/>
        </a:schemeClr>
      </a:solidFill>
      <a:round/>
    </a:ln>
    <a:effectLst>
      <a:glow rad="228600">
        <a:schemeClr val="accent1">
          <a:satMod val="175000"/>
          <a:alpha val="40000"/>
        </a:schemeClr>
      </a:glow>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 Market Capital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tx>
            <c:strRef>
              <c:f>pivot_charts!$P$11</c:f>
              <c:strCache>
                <c:ptCount val="1"/>
                <c:pt idx="0">
                  <c:v>Sum of Market Cap</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E4-4A8C-A5C3-B319C47E758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E4-4A8C-A5C3-B319C47E75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9E4-4A8C-A5C3-B319C47E75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9E4-4A8C-A5C3-B319C47E758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9E4-4A8C-A5C3-B319C47E758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pivot_charts!$O$12:$O$17</c15:sqref>
                  </c15:fullRef>
                </c:ext>
              </c:extLst>
              <c:f>pivot_charts!$O$12:$O$16</c:f>
              <c:strCache>
                <c:ptCount val="5"/>
                <c:pt idx="0">
                  <c:v>0x0.ai</c:v>
                </c:pt>
                <c:pt idx="1">
                  <c:v>Act I : The AI Prophecy</c:v>
                </c:pt>
                <c:pt idx="2">
                  <c:v>Adshares</c:v>
                </c:pt>
                <c:pt idx="3">
                  <c:v>aelf</c:v>
                </c:pt>
                <c:pt idx="4">
                  <c:v>Aerobud</c:v>
                </c:pt>
              </c:strCache>
            </c:strRef>
          </c:cat>
          <c:val>
            <c:numRef>
              <c:extLst>
                <c:ext xmlns:c15="http://schemas.microsoft.com/office/drawing/2012/chart" uri="{02D57815-91ED-43cb-92C2-25804820EDAC}">
                  <c15:fullRef>
                    <c15:sqref>pivot_charts!$P$12:$P$17</c15:sqref>
                  </c15:fullRef>
                </c:ext>
              </c:extLst>
              <c:f>pivot_charts!$P$12:$P$16</c:f>
              <c:numCache>
                <c:formatCode>General</c:formatCode>
                <c:ptCount val="5"/>
                <c:pt idx="0">
                  <c:v>7953928</c:v>
                </c:pt>
                <c:pt idx="1">
                  <c:v>37344308</c:v>
                </c:pt>
                <c:pt idx="2">
                  <c:v>27987125</c:v>
                </c:pt>
                <c:pt idx="3">
                  <c:v>76645429</c:v>
                </c:pt>
                <c:pt idx="4">
                  <c:v>2061941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89E4-4A8C-A5C3-B319C47E758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100000">
          <a:schemeClr val="accent5">
            <a:lumMod val="100000"/>
          </a:schemeClr>
        </a:gs>
      </a:gsLst>
      <a:path path="circle">
        <a:fillToRect l="50000" t="50000" r="50000" b="50000"/>
      </a:path>
      <a:tileRect/>
    </a:gradFill>
    <a:ln w="9525" cap="flat" cmpd="sng" algn="ctr">
      <a:solidFill>
        <a:schemeClr val="dk1">
          <a:lumMod val="25000"/>
          <a:lumOff val="75000"/>
        </a:schemeClr>
      </a:solidFill>
      <a:round/>
    </a:ln>
    <a:effectLst>
      <a:glow rad="228600">
        <a:srgbClr val="0070C0">
          <a:alpha val="40000"/>
        </a:srgbClr>
      </a:glo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57728</xdr:colOff>
      <xdr:row>1</xdr:row>
      <xdr:rowOff>46181</xdr:rowOff>
    </xdr:from>
    <xdr:to>
      <xdr:col>6</xdr:col>
      <xdr:colOff>438453</xdr:colOff>
      <xdr:row>15</xdr:row>
      <xdr:rowOff>75594</xdr:rowOff>
    </xdr:to>
    <xdr:graphicFrame macro="">
      <xdr:nvGraphicFramePr>
        <xdr:cNvPr id="2" name="Chart 1">
          <a:extLst>
            <a:ext uri="{FF2B5EF4-FFF2-40B4-BE49-F238E27FC236}">
              <a16:creationId xmlns:a16="http://schemas.microsoft.com/office/drawing/2014/main" id="{9F3CAA73-6DCC-02E4-4091-B5C4EAF82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438150</xdr:colOff>
      <xdr:row>1</xdr:row>
      <xdr:rowOff>108855</xdr:rowOff>
    </xdr:from>
    <xdr:to>
      <xdr:col>11</xdr:col>
      <xdr:colOff>594784</xdr:colOff>
      <xdr:row>15</xdr:row>
      <xdr:rowOff>46799</xdr:rowOff>
    </xdr:to>
    <mc:AlternateContent xmlns:mc="http://schemas.openxmlformats.org/markup-compatibility/2006" xmlns:a14="http://schemas.microsoft.com/office/drawing/2010/main">
      <mc:Choice Requires="a14">
        <xdr:graphicFrame macro="">
          <xdr:nvGraphicFramePr>
            <xdr:cNvPr id="3" name="Price Range">
              <a:extLst>
                <a:ext uri="{FF2B5EF4-FFF2-40B4-BE49-F238E27FC236}">
                  <a16:creationId xmlns:a16="http://schemas.microsoft.com/office/drawing/2014/main" id="{EB234281-BED1-959E-AFAB-B14C6EDC703F}"/>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18550769" y="290284"/>
              <a:ext cx="1819729" cy="2477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90441</xdr:colOff>
      <xdr:row>16</xdr:row>
      <xdr:rowOff>167795</xdr:rowOff>
    </xdr:from>
    <xdr:to>
      <xdr:col>6</xdr:col>
      <xdr:colOff>453573</xdr:colOff>
      <xdr:row>31</xdr:row>
      <xdr:rowOff>168949</xdr:rowOff>
    </xdr:to>
    <xdr:graphicFrame macro="">
      <xdr:nvGraphicFramePr>
        <xdr:cNvPr id="4" name="Chart 3">
          <a:extLst>
            <a:ext uri="{FF2B5EF4-FFF2-40B4-BE49-F238E27FC236}">
              <a16:creationId xmlns:a16="http://schemas.microsoft.com/office/drawing/2014/main" id="{0FF4F429-A170-079F-FAE8-DD09447F1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120953</xdr:colOff>
      <xdr:row>34</xdr:row>
      <xdr:rowOff>3684</xdr:rowOff>
    </xdr:from>
    <xdr:to>
      <xdr:col>6</xdr:col>
      <xdr:colOff>423335</xdr:colOff>
      <xdr:row>49</xdr:row>
      <xdr:rowOff>166310</xdr:rowOff>
    </xdr:to>
    <xdr:graphicFrame macro="">
      <xdr:nvGraphicFramePr>
        <xdr:cNvPr id="6" name="Chart 5">
          <a:extLst>
            <a:ext uri="{FF2B5EF4-FFF2-40B4-BE49-F238E27FC236}">
              <a16:creationId xmlns:a16="http://schemas.microsoft.com/office/drawing/2014/main" id="{6713FAD4-2A6C-7EE1-63FD-09234BF61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351014</xdr:colOff>
      <xdr:row>16</xdr:row>
      <xdr:rowOff>176389</xdr:rowOff>
    </xdr:from>
    <xdr:to>
      <xdr:col>13</xdr:col>
      <xdr:colOff>132292</xdr:colOff>
      <xdr:row>29</xdr:row>
      <xdr:rowOff>79551</xdr:rowOff>
    </xdr:to>
    <xdr:graphicFrame macro="">
      <xdr:nvGraphicFramePr>
        <xdr:cNvPr id="10" name="Chart 9">
          <a:extLst>
            <a:ext uri="{FF2B5EF4-FFF2-40B4-BE49-F238E27FC236}">
              <a16:creationId xmlns:a16="http://schemas.microsoft.com/office/drawing/2014/main" id="{F6AD6B4E-5B7C-70AB-7CFB-1D0584C8F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393861</xdr:colOff>
      <xdr:row>31</xdr:row>
      <xdr:rowOff>32152</xdr:rowOff>
    </xdr:from>
    <xdr:to>
      <xdr:col>15</xdr:col>
      <xdr:colOff>884178</xdr:colOff>
      <xdr:row>35</xdr:row>
      <xdr:rowOff>136645</xdr:rowOff>
    </xdr:to>
    <xdr:sp macro="" textlink="N42">
      <xdr:nvSpPr>
        <xdr:cNvPr id="11" name="Rectangle: Rounded Corners 10">
          <a:extLst>
            <a:ext uri="{FF2B5EF4-FFF2-40B4-BE49-F238E27FC236}">
              <a16:creationId xmlns:a16="http://schemas.microsoft.com/office/drawing/2014/main" id="{AEF7C37D-982A-1C96-AA55-DF55AA2871A0}"/>
            </a:ext>
          </a:extLst>
        </xdr:cNvPr>
        <xdr:cNvSpPr/>
      </xdr:nvSpPr>
      <xdr:spPr>
        <a:xfrm>
          <a:off x="17667469" y="5763228"/>
          <a:ext cx="1856772" cy="843987"/>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6EE904-242C-48EB-B0EB-D0F13E377A8C}" type="TxLink">
            <a:rPr lang="en-US" sz="2000" b="1" i="0" u="none" strike="noStrike">
              <a:solidFill>
                <a:srgbClr val="000000"/>
              </a:solidFill>
              <a:latin typeface="Calibri"/>
              <a:ea typeface="Calibri"/>
              <a:cs typeface="Calibri"/>
            </a:rPr>
            <a:pPr algn="ctr"/>
            <a:t>2.82087E+12</a:t>
          </a:fld>
          <a:endParaRPr lang="en-IN" sz="2000" b="1"/>
        </a:p>
      </xdr:txBody>
    </xdr:sp>
    <xdr:clientData/>
  </xdr:twoCellAnchor>
  <xdr:oneCellAnchor>
    <xdr:from>
      <xdr:col>14</xdr:col>
      <xdr:colOff>602847</xdr:colOff>
      <xdr:row>30</xdr:row>
      <xdr:rowOff>175846</xdr:rowOff>
    </xdr:from>
    <xdr:ext cx="1449179" cy="443820"/>
    <xdr:sp macro="" textlink="">
      <xdr:nvSpPr>
        <xdr:cNvPr id="12" name="TextBox 11">
          <a:extLst>
            <a:ext uri="{FF2B5EF4-FFF2-40B4-BE49-F238E27FC236}">
              <a16:creationId xmlns:a16="http://schemas.microsoft.com/office/drawing/2014/main" id="{79D7D3BC-8AF7-4518-9F46-868E4052063F}"/>
            </a:ext>
          </a:extLst>
        </xdr:cNvPr>
        <xdr:cNvSpPr txBox="1"/>
      </xdr:nvSpPr>
      <xdr:spPr>
        <a:xfrm>
          <a:off x="17894385" y="5744308"/>
          <a:ext cx="1449179" cy="443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rgbClr val="C00000"/>
              </a:solidFill>
            </a:rPr>
            <a:t>Sum of </a:t>
          </a:r>
          <a:r>
            <a:rPr lang="en-IN" sz="1200" b="1">
              <a:solidFill>
                <a:srgbClr val="C00000"/>
              </a:solidFill>
            </a:rPr>
            <a:t>Market</a:t>
          </a:r>
          <a:r>
            <a:rPr lang="en-IN" sz="1100" b="1">
              <a:solidFill>
                <a:srgbClr val="C00000"/>
              </a:solidFill>
            </a:rPr>
            <a:t> capital</a:t>
          </a:r>
        </a:p>
        <a:p>
          <a:endParaRPr lang="en-IN" sz="1100" b="1">
            <a:solidFill>
              <a:srgbClr val="C00000"/>
            </a:solidFill>
          </a:endParaRPr>
        </a:p>
      </xdr:txBody>
    </xdr:sp>
    <xdr:clientData/>
  </xdr:oneCellAnchor>
  <xdr:twoCellAnchor>
    <xdr:from>
      <xdr:col>14</xdr:col>
      <xdr:colOff>417974</xdr:colOff>
      <xdr:row>36</xdr:row>
      <xdr:rowOff>120569</xdr:rowOff>
    </xdr:from>
    <xdr:to>
      <xdr:col>15</xdr:col>
      <xdr:colOff>924369</xdr:colOff>
      <xdr:row>40</xdr:row>
      <xdr:rowOff>176835</xdr:rowOff>
    </xdr:to>
    <xdr:sp macro="" textlink="N45">
      <xdr:nvSpPr>
        <xdr:cNvPr id="13" name="Rectangle: Rounded Corners 12">
          <a:extLst>
            <a:ext uri="{FF2B5EF4-FFF2-40B4-BE49-F238E27FC236}">
              <a16:creationId xmlns:a16="http://schemas.microsoft.com/office/drawing/2014/main" id="{C42F0186-7782-44FF-9C5A-40B7C84964D5}"/>
            </a:ext>
          </a:extLst>
        </xdr:cNvPr>
        <xdr:cNvSpPr/>
      </xdr:nvSpPr>
      <xdr:spPr>
        <a:xfrm>
          <a:off x="17691582" y="6776012"/>
          <a:ext cx="1872850" cy="79576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39B9D6-C195-490F-A62D-E4E2452C92E3}" type="TxLink">
            <a:rPr lang="en-US" sz="2000" b="1" i="0" u="none" strike="noStrike">
              <a:solidFill>
                <a:srgbClr val="000000"/>
              </a:solidFill>
              <a:latin typeface="Calibri"/>
              <a:ea typeface="Calibri"/>
              <a:cs typeface="Calibri"/>
            </a:rPr>
            <a:pPr algn="ctr"/>
            <a:t>105202.9303</a:t>
          </a:fld>
          <a:endParaRPr lang="en-IN" sz="4000" b="1"/>
        </a:p>
      </xdr:txBody>
    </xdr:sp>
    <xdr:clientData/>
  </xdr:twoCellAnchor>
  <xdr:oneCellAnchor>
    <xdr:from>
      <xdr:col>14</xdr:col>
      <xdr:colOff>458165</xdr:colOff>
      <xdr:row>36</xdr:row>
      <xdr:rowOff>78154</xdr:rowOff>
    </xdr:from>
    <xdr:ext cx="1800506" cy="468429"/>
    <xdr:sp macro="" textlink="">
      <xdr:nvSpPr>
        <xdr:cNvPr id="14" name="TextBox 13">
          <a:extLst>
            <a:ext uri="{FF2B5EF4-FFF2-40B4-BE49-F238E27FC236}">
              <a16:creationId xmlns:a16="http://schemas.microsoft.com/office/drawing/2014/main" id="{EA49C3FA-D338-44F5-AAC3-8D72E015BC52}"/>
            </a:ext>
          </a:extLst>
        </xdr:cNvPr>
        <xdr:cNvSpPr txBox="1"/>
      </xdr:nvSpPr>
      <xdr:spPr>
        <a:xfrm>
          <a:off x="17749703" y="6760308"/>
          <a:ext cx="1800506" cy="468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200" b="1">
              <a:solidFill>
                <a:srgbClr val="C00000"/>
              </a:solidFill>
            </a:rPr>
            <a:t>Total</a:t>
          </a:r>
          <a:r>
            <a:rPr lang="en-IN" sz="1100" b="1" baseline="0">
              <a:solidFill>
                <a:srgbClr val="C00000"/>
              </a:solidFill>
            </a:rPr>
            <a:t> Price of coin</a:t>
          </a:r>
          <a:endParaRPr lang="en-IN" sz="1100" b="1">
            <a:solidFill>
              <a:srgbClr val="C00000"/>
            </a:solidFill>
          </a:endParaRPr>
        </a:p>
        <a:p>
          <a:endParaRPr lang="en-IN" sz="1100" b="1">
            <a:solidFill>
              <a:srgbClr val="C00000"/>
            </a:solidFill>
          </a:endParaRPr>
        </a:p>
      </xdr:txBody>
    </xdr:sp>
    <xdr:clientData/>
  </xdr:oneCellAnchor>
  <xdr:twoCellAnchor>
    <xdr:from>
      <xdr:col>14</xdr:col>
      <xdr:colOff>426012</xdr:colOff>
      <xdr:row>41</xdr:row>
      <xdr:rowOff>168476</xdr:rowOff>
    </xdr:from>
    <xdr:to>
      <xdr:col>15</xdr:col>
      <xdr:colOff>924367</xdr:colOff>
      <xdr:row>46</xdr:row>
      <xdr:rowOff>48228</xdr:rowOff>
    </xdr:to>
    <xdr:sp macro="" textlink="N48">
      <xdr:nvSpPr>
        <xdr:cNvPr id="15" name="Rectangle: Rounded Corners 14">
          <a:extLst>
            <a:ext uri="{FF2B5EF4-FFF2-40B4-BE49-F238E27FC236}">
              <a16:creationId xmlns:a16="http://schemas.microsoft.com/office/drawing/2014/main" id="{BB4E5251-EC21-4F2D-94B2-461607F60C7E}"/>
            </a:ext>
          </a:extLst>
        </xdr:cNvPr>
        <xdr:cNvSpPr/>
      </xdr:nvSpPr>
      <xdr:spPr>
        <a:xfrm>
          <a:off x="17699620" y="7748286"/>
          <a:ext cx="1864810" cy="804119"/>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23C193-29A5-4D1E-9ACA-4AF0A06E878C}" type="TxLink">
            <a:rPr lang="en-US" sz="2000" b="1" i="0" u="none" strike="noStrike">
              <a:solidFill>
                <a:srgbClr val="000000"/>
              </a:solidFill>
              <a:latin typeface="Calibri"/>
              <a:ea typeface="Calibri"/>
              <a:cs typeface="Calibri"/>
            </a:rPr>
            <a:pPr algn="ctr"/>
            <a:t>3.7534E+15</a:t>
          </a:fld>
          <a:endParaRPr lang="en-IN" sz="4000" b="1"/>
        </a:p>
      </xdr:txBody>
    </xdr:sp>
    <xdr:clientData/>
  </xdr:twoCellAnchor>
  <xdr:oneCellAnchor>
    <xdr:from>
      <xdr:col>14</xdr:col>
      <xdr:colOff>434050</xdr:colOff>
      <xdr:row>41</xdr:row>
      <xdr:rowOff>97693</xdr:rowOff>
    </xdr:from>
    <xdr:ext cx="1858475" cy="473744"/>
    <xdr:sp macro="" textlink="">
      <xdr:nvSpPr>
        <xdr:cNvPr id="18" name="TextBox 17">
          <a:extLst>
            <a:ext uri="{FF2B5EF4-FFF2-40B4-BE49-F238E27FC236}">
              <a16:creationId xmlns:a16="http://schemas.microsoft.com/office/drawing/2014/main" id="{87CA9080-8896-438D-B411-8AE534DB2E89}"/>
            </a:ext>
          </a:extLst>
        </xdr:cNvPr>
        <xdr:cNvSpPr txBox="1"/>
      </xdr:nvSpPr>
      <xdr:spPr>
        <a:xfrm>
          <a:off x="17725588" y="7707924"/>
          <a:ext cx="1858475" cy="473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200" b="1">
              <a:solidFill>
                <a:srgbClr val="C00000"/>
              </a:solidFill>
            </a:rPr>
            <a:t>Total</a:t>
          </a:r>
          <a:r>
            <a:rPr lang="en-IN" sz="1100" b="1" baseline="0">
              <a:solidFill>
                <a:srgbClr val="C00000"/>
              </a:solidFill>
            </a:rPr>
            <a:t> Circulating Supply</a:t>
          </a:r>
          <a:endParaRPr lang="en-IN" sz="1100" b="1">
            <a:solidFill>
              <a:srgbClr val="C00000"/>
            </a:solidFill>
          </a:endParaRPr>
        </a:p>
        <a:p>
          <a:endParaRPr lang="en-IN" sz="1100" b="1">
            <a:solidFill>
              <a:srgbClr val="C00000"/>
            </a:solidFill>
          </a:endParaRPr>
        </a:p>
      </xdr:txBody>
    </xdr:sp>
    <xdr:clientData/>
  </xdr:oneCellAnchor>
  <xdr:twoCellAnchor>
    <xdr:from>
      <xdr:col>14</xdr:col>
      <xdr:colOff>425047</xdr:colOff>
      <xdr:row>47</xdr:row>
      <xdr:rowOff>95490</xdr:rowOff>
    </xdr:from>
    <xdr:to>
      <xdr:col>15</xdr:col>
      <xdr:colOff>956519</xdr:colOff>
      <xdr:row>51</xdr:row>
      <xdr:rowOff>136646</xdr:rowOff>
    </xdr:to>
    <xdr:sp macro="" textlink="M49">
      <xdr:nvSpPr>
        <xdr:cNvPr id="19" name="Rectangle: Rounded Corners 18">
          <a:extLst>
            <a:ext uri="{FF2B5EF4-FFF2-40B4-BE49-F238E27FC236}">
              <a16:creationId xmlns:a16="http://schemas.microsoft.com/office/drawing/2014/main" id="{DE2A4680-7BE5-4FB9-A514-F6A1BFDFD11F}"/>
            </a:ext>
          </a:extLst>
        </xdr:cNvPr>
        <xdr:cNvSpPr/>
      </xdr:nvSpPr>
      <xdr:spPr>
        <a:xfrm>
          <a:off x="17698655" y="8784541"/>
          <a:ext cx="1897927" cy="780649"/>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23F2F7-792E-4B05-A3C8-BD0B7911562B}" type="TxLink">
            <a:rPr lang="en-US" sz="2400" b="1" i="0" u="none" strike="noStrike">
              <a:solidFill>
                <a:srgbClr val="000000"/>
              </a:solidFill>
              <a:latin typeface="Calibri"/>
              <a:ea typeface="Calibri"/>
              <a:cs typeface="Calibri"/>
            </a:rPr>
            <a:pPr algn="ctr"/>
            <a:t>Bitcoin</a:t>
          </a:fld>
          <a:endParaRPr lang="en-IN" sz="4400" b="1"/>
        </a:p>
      </xdr:txBody>
    </xdr:sp>
    <xdr:clientData/>
  </xdr:twoCellAnchor>
  <xdr:oneCellAnchor>
    <xdr:from>
      <xdr:col>14</xdr:col>
      <xdr:colOff>420077</xdr:colOff>
      <xdr:row>46</xdr:row>
      <xdr:rowOff>29307</xdr:rowOff>
    </xdr:from>
    <xdr:ext cx="1896240" cy="919175"/>
    <xdr:sp macro="" textlink="">
      <xdr:nvSpPr>
        <xdr:cNvPr id="20" name="TextBox 19">
          <a:extLst>
            <a:ext uri="{FF2B5EF4-FFF2-40B4-BE49-F238E27FC236}">
              <a16:creationId xmlns:a16="http://schemas.microsoft.com/office/drawing/2014/main" id="{5C6ADBD4-0A07-44D8-935B-2650A34456BE}"/>
            </a:ext>
          </a:extLst>
        </xdr:cNvPr>
        <xdr:cNvSpPr txBox="1"/>
      </xdr:nvSpPr>
      <xdr:spPr>
        <a:xfrm>
          <a:off x="17711615" y="8567615"/>
          <a:ext cx="1896240" cy="9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200" b="1">
              <a:solidFill>
                <a:srgbClr val="C00000"/>
              </a:solidFill>
            </a:rPr>
            <a:t>Total</a:t>
          </a:r>
          <a:r>
            <a:rPr lang="en-IN" sz="1100" b="1" baseline="0">
              <a:solidFill>
                <a:srgbClr val="C00000"/>
              </a:solidFill>
            </a:rPr>
            <a:t> Price Coin</a:t>
          </a:r>
          <a:endParaRPr lang="en-IN" sz="1100" b="1">
            <a:solidFill>
              <a:srgbClr val="C00000"/>
            </a:solidFill>
          </a:endParaRPr>
        </a:p>
        <a:p>
          <a:endParaRPr lang="en-IN" sz="1100" b="1">
            <a:solidFill>
              <a:srgbClr val="C00000"/>
            </a:solidFill>
          </a:endParaRPr>
        </a:p>
      </xdr:txBody>
    </xdr:sp>
    <xdr:clientData/>
  </xdr:oneCellAnchor>
  <xdr:twoCellAnchor>
    <xdr:from>
      <xdr:col>14</xdr:col>
      <xdr:colOff>426013</xdr:colOff>
      <xdr:row>53</xdr:row>
      <xdr:rowOff>15110</xdr:rowOff>
    </xdr:from>
    <xdr:to>
      <xdr:col>15</xdr:col>
      <xdr:colOff>980634</xdr:colOff>
      <xdr:row>57</xdr:row>
      <xdr:rowOff>24114</xdr:rowOff>
    </xdr:to>
    <xdr:sp macro="" textlink="M51">
      <xdr:nvSpPr>
        <xdr:cNvPr id="21" name="Rectangle: Rounded Corners 20">
          <a:extLst>
            <a:ext uri="{FF2B5EF4-FFF2-40B4-BE49-F238E27FC236}">
              <a16:creationId xmlns:a16="http://schemas.microsoft.com/office/drawing/2014/main" id="{A3ED38DF-B363-4101-9818-BE39BEFD07CE}"/>
            </a:ext>
          </a:extLst>
        </xdr:cNvPr>
        <xdr:cNvSpPr/>
      </xdr:nvSpPr>
      <xdr:spPr>
        <a:xfrm>
          <a:off x="17699621" y="9813401"/>
          <a:ext cx="1921076" cy="74849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8857FD-CC5A-417D-A924-51B140C0FCE2}" type="TxLink">
            <a:rPr lang="en-US" sz="2000" b="1" i="0" u="none" strike="noStrike">
              <a:solidFill>
                <a:srgbClr val="000000"/>
              </a:solidFill>
              <a:latin typeface="Calibri"/>
              <a:ea typeface="Calibri"/>
              <a:cs typeface="Calibri"/>
            </a:rPr>
            <a:pPr algn="ctr"/>
            <a:t>88617.76</a:t>
          </a:fld>
          <a:endParaRPr lang="en-IN" sz="4000" b="1"/>
        </a:p>
      </xdr:txBody>
    </xdr:sp>
    <xdr:clientData/>
  </xdr:twoCellAnchor>
  <xdr:oneCellAnchor>
    <xdr:from>
      <xdr:col>14</xdr:col>
      <xdr:colOff>586772</xdr:colOff>
      <xdr:row>52</xdr:row>
      <xdr:rowOff>166309</xdr:rowOff>
    </xdr:from>
    <xdr:ext cx="1641449" cy="468691"/>
    <xdr:sp macro="" textlink="">
      <xdr:nvSpPr>
        <xdr:cNvPr id="22" name="TextBox 21">
          <a:extLst>
            <a:ext uri="{FF2B5EF4-FFF2-40B4-BE49-F238E27FC236}">
              <a16:creationId xmlns:a16="http://schemas.microsoft.com/office/drawing/2014/main" id="{72579D08-6828-4FD3-B4D9-7E1E47637B7D}"/>
            </a:ext>
          </a:extLst>
        </xdr:cNvPr>
        <xdr:cNvSpPr txBox="1"/>
      </xdr:nvSpPr>
      <xdr:spPr>
        <a:xfrm>
          <a:off x="25518082" y="9600595"/>
          <a:ext cx="1641449" cy="468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200" b="1">
              <a:solidFill>
                <a:srgbClr val="C00000"/>
              </a:solidFill>
            </a:rPr>
            <a:t>Price</a:t>
          </a:r>
          <a:r>
            <a:rPr lang="en-IN" sz="1200" b="1" baseline="0">
              <a:solidFill>
                <a:srgbClr val="C00000"/>
              </a:solidFill>
            </a:rPr>
            <a:t> of Top Coin</a:t>
          </a:r>
          <a:endParaRPr lang="en-IN" sz="1200" b="1">
            <a:solidFill>
              <a:srgbClr val="C00000"/>
            </a:solidFill>
          </a:endParaRPr>
        </a:p>
        <a:p>
          <a:endParaRPr lang="en-IN" sz="1200" b="1">
            <a:solidFill>
              <a:srgbClr val="C0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587375</xdr:colOff>
      <xdr:row>14</xdr:row>
      <xdr:rowOff>79376</xdr:rowOff>
    </xdr:from>
    <xdr:to>
      <xdr:col>12</xdr:col>
      <xdr:colOff>444500</xdr:colOff>
      <xdr:row>30</xdr:row>
      <xdr:rowOff>20756</xdr:rowOff>
    </xdr:to>
    <xdr:graphicFrame macro="">
      <xdr:nvGraphicFramePr>
        <xdr:cNvPr id="3" name="Chart 2">
          <a:extLst>
            <a:ext uri="{FF2B5EF4-FFF2-40B4-BE49-F238E27FC236}">
              <a16:creationId xmlns:a16="http://schemas.microsoft.com/office/drawing/2014/main" id="{5BBF5499-953B-41F3-9683-9E66FDD79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508001</xdr:colOff>
      <xdr:row>32</xdr:row>
      <xdr:rowOff>92363</xdr:rowOff>
    </xdr:from>
    <xdr:to>
      <xdr:col>12</xdr:col>
      <xdr:colOff>444501</xdr:colOff>
      <xdr:row>52</xdr:row>
      <xdr:rowOff>63500</xdr:rowOff>
    </xdr:to>
    <xdr:graphicFrame macro="">
      <xdr:nvGraphicFramePr>
        <xdr:cNvPr id="4" name="Chart 3">
          <a:extLst>
            <a:ext uri="{FF2B5EF4-FFF2-40B4-BE49-F238E27FC236}">
              <a16:creationId xmlns:a16="http://schemas.microsoft.com/office/drawing/2014/main" id="{87493D04-6E12-4BF2-A9B5-344715967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63499</xdr:colOff>
      <xdr:row>32</xdr:row>
      <xdr:rowOff>50304</xdr:rowOff>
    </xdr:from>
    <xdr:to>
      <xdr:col>21</xdr:col>
      <xdr:colOff>1365250</xdr:colOff>
      <xdr:row>52</xdr:row>
      <xdr:rowOff>127000</xdr:rowOff>
    </xdr:to>
    <xdr:graphicFrame macro="">
      <xdr:nvGraphicFramePr>
        <xdr:cNvPr id="5" name="Chart 4">
          <a:extLst>
            <a:ext uri="{FF2B5EF4-FFF2-40B4-BE49-F238E27FC236}">
              <a16:creationId xmlns:a16="http://schemas.microsoft.com/office/drawing/2014/main" id="{F55767EB-B626-4BD2-8214-950EC9D46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365125</xdr:colOff>
      <xdr:row>14</xdr:row>
      <xdr:rowOff>127000</xdr:rowOff>
    </xdr:from>
    <xdr:to>
      <xdr:col>24</xdr:col>
      <xdr:colOff>333375</xdr:colOff>
      <xdr:row>30</xdr:row>
      <xdr:rowOff>98372</xdr:rowOff>
    </xdr:to>
    <xdr:graphicFrame macro="">
      <xdr:nvGraphicFramePr>
        <xdr:cNvPr id="6" name="Chart 5">
          <a:extLst>
            <a:ext uri="{FF2B5EF4-FFF2-40B4-BE49-F238E27FC236}">
              <a16:creationId xmlns:a16="http://schemas.microsoft.com/office/drawing/2014/main" id="{CDCD28AF-75A2-43E6-B289-2E872D458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566966</xdr:colOff>
      <xdr:row>7</xdr:row>
      <xdr:rowOff>115410</xdr:rowOff>
    </xdr:from>
    <xdr:to>
      <xdr:col>9</xdr:col>
      <xdr:colOff>0</xdr:colOff>
      <xdr:row>13</xdr:row>
      <xdr:rowOff>25979</xdr:rowOff>
    </xdr:to>
    <xdr:sp macro="" textlink="pivot_charts!N42">
      <xdr:nvSpPr>
        <xdr:cNvPr id="17" name="Rectangle: Rounded Corners 16">
          <a:extLst>
            <a:ext uri="{FF2B5EF4-FFF2-40B4-BE49-F238E27FC236}">
              <a16:creationId xmlns:a16="http://schemas.microsoft.com/office/drawing/2014/main" id="{A92912EA-0636-4948-A2B5-B03942078673}"/>
            </a:ext>
          </a:extLst>
        </xdr:cNvPr>
        <xdr:cNvSpPr/>
      </xdr:nvSpPr>
      <xdr:spPr>
        <a:xfrm>
          <a:off x="2979966" y="1448910"/>
          <a:ext cx="2449284" cy="1053569"/>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DECE7E-B950-41A2-B66F-F44D089BAB6D}" type="TxLink">
            <a:rPr lang="en-US" sz="1800" b="1" i="0" u="none" strike="noStrike">
              <a:solidFill>
                <a:srgbClr val="000000"/>
              </a:solidFill>
              <a:latin typeface="Calibri"/>
              <a:ea typeface="Calibri"/>
              <a:cs typeface="Calibri"/>
            </a:rPr>
            <a:t>2.82087E+12</a:t>
          </a:fld>
          <a:endParaRPr lang="en-IN" sz="1800" b="1"/>
        </a:p>
      </xdr:txBody>
    </xdr:sp>
    <xdr:clientData/>
  </xdr:twoCellAnchor>
  <xdr:oneCellAnchor>
    <xdr:from>
      <xdr:col>4</xdr:col>
      <xdr:colOff>555625</xdr:colOff>
      <xdr:row>7</xdr:row>
      <xdr:rowOff>113392</xdr:rowOff>
    </xdr:from>
    <xdr:ext cx="2494300" cy="309941"/>
    <xdr:sp macro="" textlink="">
      <xdr:nvSpPr>
        <xdr:cNvPr id="18" name="TextBox 17">
          <a:extLst>
            <a:ext uri="{FF2B5EF4-FFF2-40B4-BE49-F238E27FC236}">
              <a16:creationId xmlns:a16="http://schemas.microsoft.com/office/drawing/2014/main" id="{4414276C-C48F-45A3-B1B8-EC53177EBD59}"/>
            </a:ext>
          </a:extLst>
        </xdr:cNvPr>
        <xdr:cNvSpPr txBox="1"/>
      </xdr:nvSpPr>
      <xdr:spPr>
        <a:xfrm>
          <a:off x="2993571" y="1383392"/>
          <a:ext cx="2494300" cy="30994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rgbClr val="C00000"/>
              </a:solidFill>
            </a:rPr>
            <a:t>Sum of Market capital</a:t>
          </a:r>
        </a:p>
        <a:p>
          <a:endParaRPr lang="en-IN" sz="1100" b="1">
            <a:solidFill>
              <a:srgbClr val="C00000"/>
            </a:solidFill>
          </a:endParaRPr>
        </a:p>
      </xdr:txBody>
    </xdr:sp>
    <xdr:clientData/>
  </xdr:oneCellAnchor>
  <xdr:twoCellAnchor>
    <xdr:from>
      <xdr:col>9</xdr:col>
      <xdr:colOff>241072</xdr:colOff>
      <xdr:row>7</xdr:row>
      <xdr:rowOff>125488</xdr:rowOff>
    </xdr:from>
    <xdr:to>
      <xdr:col>13</xdr:col>
      <xdr:colOff>31750</xdr:colOff>
      <xdr:row>13</xdr:row>
      <xdr:rowOff>9052</xdr:rowOff>
    </xdr:to>
    <xdr:sp macro="" textlink="pivot_charts!N45">
      <xdr:nvSpPr>
        <xdr:cNvPr id="19" name="Rectangle: Rounded Corners 18">
          <a:extLst>
            <a:ext uri="{FF2B5EF4-FFF2-40B4-BE49-F238E27FC236}">
              <a16:creationId xmlns:a16="http://schemas.microsoft.com/office/drawing/2014/main" id="{00E6A9FE-853D-443C-A470-2E990ACD1304}"/>
            </a:ext>
          </a:extLst>
        </xdr:cNvPr>
        <xdr:cNvSpPr/>
      </xdr:nvSpPr>
      <xdr:spPr>
        <a:xfrm>
          <a:off x="5670322" y="1458988"/>
          <a:ext cx="2203678" cy="1026564"/>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06890B-99F2-4267-87D2-270B8A659C0F}" type="TxLink">
            <a:rPr lang="en-US" sz="1800" b="1" i="0" u="none" strike="noStrike">
              <a:solidFill>
                <a:srgbClr val="000000"/>
              </a:solidFill>
              <a:latin typeface="Calibri"/>
              <a:ea typeface="Calibri"/>
              <a:cs typeface="Calibri"/>
            </a:rPr>
            <a:t>105202.9303</a:t>
          </a:fld>
          <a:endParaRPr lang="en-IN" sz="1800" b="1"/>
        </a:p>
      </xdr:txBody>
    </xdr:sp>
    <xdr:clientData/>
  </xdr:twoCellAnchor>
  <xdr:oneCellAnchor>
    <xdr:from>
      <xdr:col>9</xdr:col>
      <xdr:colOff>259773</xdr:colOff>
      <xdr:row>7</xdr:row>
      <xdr:rowOff>124731</xdr:rowOff>
    </xdr:from>
    <xdr:ext cx="2222500" cy="317501"/>
    <xdr:sp macro="" textlink="">
      <xdr:nvSpPr>
        <xdr:cNvPr id="20" name="TextBox 19">
          <a:extLst>
            <a:ext uri="{FF2B5EF4-FFF2-40B4-BE49-F238E27FC236}">
              <a16:creationId xmlns:a16="http://schemas.microsoft.com/office/drawing/2014/main" id="{1CDDEC03-4933-4648-AEB2-D753376356B5}"/>
            </a:ext>
          </a:extLst>
        </xdr:cNvPr>
        <xdr:cNvSpPr txBox="1"/>
      </xdr:nvSpPr>
      <xdr:spPr>
        <a:xfrm>
          <a:off x="5759327" y="1394731"/>
          <a:ext cx="2222500" cy="31750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rgbClr val="C00000"/>
              </a:solidFill>
            </a:rPr>
            <a:t>Total</a:t>
          </a:r>
          <a:r>
            <a:rPr lang="en-IN" sz="1800" b="1" baseline="0">
              <a:solidFill>
                <a:srgbClr val="C00000"/>
              </a:solidFill>
            </a:rPr>
            <a:t> Price of coin</a:t>
          </a:r>
          <a:endParaRPr lang="en-IN" sz="1800" b="1">
            <a:solidFill>
              <a:srgbClr val="C00000"/>
            </a:solidFill>
          </a:endParaRPr>
        </a:p>
        <a:p>
          <a:endParaRPr lang="en-IN" sz="1100" b="1">
            <a:solidFill>
              <a:srgbClr val="C00000"/>
            </a:solidFill>
          </a:endParaRPr>
        </a:p>
      </xdr:txBody>
    </xdr:sp>
    <xdr:clientData/>
  </xdr:oneCellAnchor>
  <xdr:twoCellAnchor>
    <xdr:from>
      <xdr:col>13</xdr:col>
      <xdr:colOff>571500</xdr:colOff>
      <xdr:row>8</xdr:row>
      <xdr:rowOff>116974</xdr:rowOff>
    </xdr:from>
    <xdr:to>
      <xdr:col>18</xdr:col>
      <xdr:colOff>428624</xdr:colOff>
      <xdr:row>14</xdr:row>
      <xdr:rowOff>131696</xdr:rowOff>
    </xdr:to>
    <xdr:sp macro="" textlink="pivot_charts!N48">
      <xdr:nvSpPr>
        <xdr:cNvPr id="21" name="Rectangle: Rounded Corners 20">
          <a:extLst>
            <a:ext uri="{FF2B5EF4-FFF2-40B4-BE49-F238E27FC236}">
              <a16:creationId xmlns:a16="http://schemas.microsoft.com/office/drawing/2014/main" id="{91BB1325-E3C5-41C2-ACBC-4BB7EEC3E0EB}"/>
            </a:ext>
          </a:extLst>
        </xdr:cNvPr>
        <xdr:cNvSpPr/>
      </xdr:nvSpPr>
      <xdr:spPr>
        <a:xfrm>
          <a:off x="8392026" y="1587500"/>
          <a:ext cx="2948572" cy="1117617"/>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978B37-F16A-4127-9520-A805CD16570B}" type="TxLink">
            <a:rPr lang="en-US" sz="1800" b="1" i="0" u="none" strike="noStrike">
              <a:solidFill>
                <a:srgbClr val="000000"/>
              </a:solidFill>
              <a:latin typeface="Calibri"/>
              <a:ea typeface="Calibri"/>
              <a:cs typeface="Calibri"/>
            </a:rPr>
            <a:t>3.7534E+15</a:t>
          </a:fld>
          <a:endParaRPr lang="en-IN" sz="1800" b="1"/>
        </a:p>
      </xdr:txBody>
    </xdr:sp>
    <xdr:clientData/>
  </xdr:twoCellAnchor>
  <xdr:oneCellAnchor>
    <xdr:from>
      <xdr:col>13</xdr:col>
      <xdr:colOff>571501</xdr:colOff>
      <xdr:row>8</xdr:row>
      <xdr:rowOff>112797</xdr:rowOff>
    </xdr:from>
    <xdr:ext cx="2968624" cy="365126"/>
    <xdr:sp macro="" textlink="">
      <xdr:nvSpPr>
        <xdr:cNvPr id="22" name="TextBox 21">
          <a:extLst>
            <a:ext uri="{FF2B5EF4-FFF2-40B4-BE49-F238E27FC236}">
              <a16:creationId xmlns:a16="http://schemas.microsoft.com/office/drawing/2014/main" id="{0D42446E-A057-4A48-B848-B155A690A97B}"/>
            </a:ext>
          </a:extLst>
        </xdr:cNvPr>
        <xdr:cNvSpPr txBox="1"/>
      </xdr:nvSpPr>
      <xdr:spPr>
        <a:xfrm>
          <a:off x="8392027" y="1583323"/>
          <a:ext cx="2968624" cy="36512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rgbClr val="C00000"/>
              </a:solidFill>
            </a:rPr>
            <a:t>Total</a:t>
          </a:r>
          <a:r>
            <a:rPr lang="en-IN" sz="1600" b="1" baseline="0">
              <a:solidFill>
                <a:srgbClr val="C00000"/>
              </a:solidFill>
            </a:rPr>
            <a:t> Circulating Supply</a:t>
          </a:r>
          <a:endParaRPr lang="en-IN" sz="1600" b="1">
            <a:solidFill>
              <a:srgbClr val="C00000"/>
            </a:solidFill>
          </a:endParaRPr>
        </a:p>
        <a:p>
          <a:endParaRPr lang="en-IN" sz="1600" b="1">
            <a:solidFill>
              <a:srgbClr val="C00000"/>
            </a:solidFill>
          </a:endParaRPr>
        </a:p>
      </xdr:txBody>
    </xdr:sp>
    <xdr:clientData/>
  </xdr:oneCellAnchor>
  <xdr:twoCellAnchor>
    <xdr:from>
      <xdr:col>19</xdr:col>
      <xdr:colOff>285750</xdr:colOff>
      <xdr:row>7</xdr:row>
      <xdr:rowOff>47625</xdr:rowOff>
    </xdr:from>
    <xdr:to>
      <xdr:col>22</xdr:col>
      <xdr:colOff>365125</xdr:colOff>
      <xdr:row>13</xdr:row>
      <xdr:rowOff>121707</xdr:rowOff>
    </xdr:to>
    <xdr:sp macro="" textlink="pivot_charts!M49">
      <xdr:nvSpPr>
        <xdr:cNvPr id="23" name="Rectangle: Rounded Corners 22">
          <a:extLst>
            <a:ext uri="{FF2B5EF4-FFF2-40B4-BE49-F238E27FC236}">
              <a16:creationId xmlns:a16="http://schemas.microsoft.com/office/drawing/2014/main" id="{9C7D2C64-A9A2-4F7E-B725-7B3ABD37AAAB}"/>
            </a:ext>
          </a:extLst>
        </xdr:cNvPr>
        <xdr:cNvSpPr/>
      </xdr:nvSpPr>
      <xdr:spPr>
        <a:xfrm>
          <a:off x="11906250" y="1381125"/>
          <a:ext cx="3714750" cy="1217082"/>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FE5906-38D0-4FF0-AB76-8B0E18E2A2B2}" type="TxLink">
            <a:rPr lang="en-US" sz="1800" b="1" i="0" u="none" strike="noStrike">
              <a:solidFill>
                <a:srgbClr val="000000"/>
              </a:solidFill>
              <a:latin typeface="Calibri"/>
              <a:ea typeface="Calibri"/>
              <a:cs typeface="Calibri"/>
            </a:rPr>
            <a:t>Bitcoin</a:t>
          </a:fld>
          <a:endParaRPr lang="en-IN" sz="1800" b="1"/>
        </a:p>
      </xdr:txBody>
    </xdr:sp>
    <xdr:clientData/>
  </xdr:twoCellAnchor>
  <xdr:oneCellAnchor>
    <xdr:from>
      <xdr:col>19</xdr:col>
      <xdr:colOff>301626</xdr:colOff>
      <xdr:row>7</xdr:row>
      <xdr:rowOff>25918</xdr:rowOff>
    </xdr:from>
    <xdr:ext cx="3710420" cy="397415"/>
    <xdr:sp macro="" textlink="">
      <xdr:nvSpPr>
        <xdr:cNvPr id="24" name="TextBox 23">
          <a:extLst>
            <a:ext uri="{FF2B5EF4-FFF2-40B4-BE49-F238E27FC236}">
              <a16:creationId xmlns:a16="http://schemas.microsoft.com/office/drawing/2014/main" id="{29012BD4-7345-46D3-AF52-765B217519F7}"/>
            </a:ext>
          </a:extLst>
        </xdr:cNvPr>
        <xdr:cNvSpPr txBox="1"/>
      </xdr:nvSpPr>
      <xdr:spPr>
        <a:xfrm>
          <a:off x="12016728" y="1295918"/>
          <a:ext cx="3710420" cy="3974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000" b="1">
              <a:solidFill>
                <a:srgbClr val="C00000"/>
              </a:solidFill>
            </a:rPr>
            <a:t>Total</a:t>
          </a:r>
          <a:r>
            <a:rPr lang="en-IN" sz="1800" b="1" baseline="0">
              <a:solidFill>
                <a:srgbClr val="C00000"/>
              </a:solidFill>
            </a:rPr>
            <a:t> Price Coin</a:t>
          </a:r>
          <a:endParaRPr lang="en-IN" sz="1800" b="1">
            <a:solidFill>
              <a:srgbClr val="C00000"/>
            </a:solidFill>
          </a:endParaRPr>
        </a:p>
        <a:p>
          <a:endParaRPr lang="en-IN" sz="1100" b="1">
            <a:solidFill>
              <a:srgbClr val="C00000"/>
            </a:solidFill>
          </a:endParaRPr>
        </a:p>
      </xdr:txBody>
    </xdr:sp>
    <xdr:clientData/>
  </xdr:oneCellAnchor>
  <xdr:oneCellAnchor>
    <xdr:from>
      <xdr:col>27</xdr:col>
      <xdr:colOff>523875</xdr:colOff>
      <xdr:row>15</xdr:row>
      <xdr:rowOff>123119</xdr:rowOff>
    </xdr:from>
    <xdr:ext cx="1516860" cy="813506"/>
    <xdr:sp macro="" textlink="">
      <xdr:nvSpPr>
        <xdr:cNvPr id="26" name="TextBox 25">
          <a:extLst>
            <a:ext uri="{FF2B5EF4-FFF2-40B4-BE49-F238E27FC236}">
              <a16:creationId xmlns:a16="http://schemas.microsoft.com/office/drawing/2014/main" id="{1B2D9485-E781-4119-B55F-7EB1B7CDCD8A}"/>
            </a:ext>
          </a:extLst>
        </xdr:cNvPr>
        <xdr:cNvSpPr txBox="1"/>
      </xdr:nvSpPr>
      <xdr:spPr>
        <a:xfrm flipV="1">
          <a:off x="20637500" y="2980619"/>
          <a:ext cx="1516860" cy="81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endParaRPr lang="en-IN" sz="1200" b="1">
            <a:solidFill>
              <a:srgbClr val="C00000"/>
            </a:solidFill>
          </a:endParaRPr>
        </a:p>
      </xdr:txBody>
    </xdr:sp>
    <xdr:clientData/>
  </xdr:oneCellAnchor>
  <xdr:twoCellAnchor editAs="oneCell">
    <xdr:from>
      <xdr:col>13</xdr:col>
      <xdr:colOff>176893</xdr:colOff>
      <xdr:row>16</xdr:row>
      <xdr:rowOff>45357</xdr:rowOff>
    </xdr:from>
    <xdr:to>
      <xdr:col>19</xdr:col>
      <xdr:colOff>113393</xdr:colOff>
      <xdr:row>31</xdr:row>
      <xdr:rowOff>56695</xdr:rowOff>
    </xdr:to>
    <mc:AlternateContent xmlns:mc="http://schemas.openxmlformats.org/markup-compatibility/2006">
      <mc:Choice xmlns:a14="http://schemas.microsoft.com/office/drawing/2010/main" Requires="a14">
        <xdr:graphicFrame macro="">
          <xdr:nvGraphicFramePr>
            <xdr:cNvPr id="28" name="Price Range 1">
              <a:extLst>
                <a:ext uri="{FF2B5EF4-FFF2-40B4-BE49-F238E27FC236}">
                  <a16:creationId xmlns:a16="http://schemas.microsoft.com/office/drawing/2014/main" id="{51287994-17CC-41F8-90C7-0CEDBC2D8C30}"/>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8087935" y="3008690"/>
              <a:ext cx="3746500" cy="278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555625</xdr:colOff>
      <xdr:row>7</xdr:row>
      <xdr:rowOff>15876</xdr:rowOff>
    </xdr:from>
    <xdr:to>
      <xdr:col>24</xdr:col>
      <xdr:colOff>438961</xdr:colOff>
      <xdr:row>13</xdr:row>
      <xdr:rowOff>114074</xdr:rowOff>
    </xdr:to>
    <xdr:sp macro="" textlink="pivot_charts!M51">
      <xdr:nvSpPr>
        <xdr:cNvPr id="57" name="Rectangle: Rounded Corners 56">
          <a:extLst>
            <a:ext uri="{FF2B5EF4-FFF2-40B4-BE49-F238E27FC236}">
              <a16:creationId xmlns:a16="http://schemas.microsoft.com/office/drawing/2014/main" id="{1F4CE210-3426-4A92-82EF-C6F7FB665414}"/>
            </a:ext>
          </a:extLst>
        </xdr:cNvPr>
        <xdr:cNvSpPr/>
      </xdr:nvSpPr>
      <xdr:spPr>
        <a:xfrm>
          <a:off x="15811500" y="1349376"/>
          <a:ext cx="3375836" cy="124119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rgbClr val="FF0000"/>
          </a:solidFill>
        </a:ln>
        <a:effectLst>
          <a:glow rad="63500">
            <a:schemeClr val="accent2">
              <a:satMod val="175000"/>
              <a:alpha val="40000"/>
            </a:schemeClr>
          </a:glow>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CE9DC6-6362-45E1-AEF7-864A6322499F}" type="TxLink">
            <a:rPr lang="en-US" sz="1800" b="1" i="0" u="none" strike="noStrike">
              <a:solidFill>
                <a:srgbClr val="000000"/>
              </a:solidFill>
              <a:latin typeface="Calibri"/>
              <a:ea typeface="Calibri"/>
              <a:cs typeface="Calibri"/>
            </a:rPr>
            <a:t>88617.76</a:t>
          </a:fld>
          <a:endParaRPr lang="en-IN" sz="1800" b="1"/>
        </a:p>
      </xdr:txBody>
    </xdr:sp>
    <xdr:clientData/>
  </xdr:twoCellAnchor>
  <xdr:oneCellAnchor>
    <xdr:from>
      <xdr:col>22</xdr:col>
      <xdr:colOff>558031</xdr:colOff>
      <xdr:row>7</xdr:row>
      <xdr:rowOff>31749</xdr:rowOff>
    </xdr:from>
    <xdr:ext cx="5339773" cy="420448"/>
    <xdr:sp macro="" textlink="">
      <xdr:nvSpPr>
        <xdr:cNvPr id="58" name="TextBox 57">
          <a:extLst>
            <a:ext uri="{FF2B5EF4-FFF2-40B4-BE49-F238E27FC236}">
              <a16:creationId xmlns:a16="http://schemas.microsoft.com/office/drawing/2014/main" id="{92644B64-3AB2-4353-B0BE-F2A29B19D662}"/>
            </a:ext>
          </a:extLst>
        </xdr:cNvPr>
        <xdr:cNvSpPr txBox="1"/>
      </xdr:nvSpPr>
      <xdr:spPr>
        <a:xfrm>
          <a:off x="15865379" y="1311370"/>
          <a:ext cx="5339773" cy="42044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rgbClr val="C00000"/>
              </a:solidFill>
            </a:rPr>
            <a:t>Price</a:t>
          </a:r>
          <a:r>
            <a:rPr lang="en-IN" sz="1800" b="1" baseline="0">
              <a:solidFill>
                <a:srgbClr val="C00000"/>
              </a:solidFill>
            </a:rPr>
            <a:t> of Top Coin</a:t>
          </a:r>
          <a:endParaRPr lang="en-IN" sz="1800" b="1">
            <a:solidFill>
              <a:srgbClr val="C00000"/>
            </a:solidFill>
          </a:endParaRPr>
        </a:p>
        <a:p>
          <a:endParaRPr lang="en-IN" sz="1200" b="1">
            <a:solidFill>
              <a:srgbClr val="C00000"/>
            </a:solidFill>
          </a:endParaRPr>
        </a:p>
      </xdr:txBody>
    </xdr:sp>
    <xdr:clientData/>
  </xdr:oneCellAnchor>
  <xdr:oneCellAnchor>
    <xdr:from>
      <xdr:col>4</xdr:col>
      <xdr:colOff>0</xdr:colOff>
      <xdr:row>2</xdr:row>
      <xdr:rowOff>0</xdr:rowOff>
    </xdr:from>
    <xdr:ext cx="19684999" cy="920749"/>
    <xdr:sp macro="" textlink="">
      <xdr:nvSpPr>
        <xdr:cNvPr id="59" name="TextBox 58">
          <a:extLst>
            <a:ext uri="{FF2B5EF4-FFF2-40B4-BE49-F238E27FC236}">
              <a16:creationId xmlns:a16="http://schemas.microsoft.com/office/drawing/2014/main" id="{B6EA020F-F175-66FE-2E90-7D23F6742B20}"/>
            </a:ext>
          </a:extLst>
        </xdr:cNvPr>
        <xdr:cNvSpPr txBox="1"/>
      </xdr:nvSpPr>
      <xdr:spPr>
        <a:xfrm>
          <a:off x="2449286" y="362857"/>
          <a:ext cx="19684999" cy="920749"/>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800" b="1">
              <a:solidFill>
                <a:schemeClr val="bg1"/>
              </a:solidFill>
            </a:rPr>
            <a:t>Crypto Analysis Dashboard</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ila krishna B" refreshedDate="46013.60548622685" createdVersion="8" refreshedVersion="8" minRefreshableVersion="3" recordCount="289" xr:uid="{E510CF62-1DE5-485F-A9F0-1D3C9D47577E}">
  <cacheSource type="worksheet">
    <worksheetSource name="Table_Cleaned_Data"/>
  </cacheSource>
  <cacheFields count="11">
    <cacheField name="Coin Name" numFmtId="0">
      <sharedItems count="289">
        <s v="CoinMarketCap 20 Index DTF"/>
        <s v="Bitcoin"/>
        <s v="Ethereum"/>
        <s v="Tether"/>
        <s v="BNB"/>
        <s v="XRP"/>
        <s v="USDC"/>
        <s v="Solana"/>
        <s v="TRON"/>
        <s v="Dogecoin"/>
        <s v="Cardano"/>
        <s v="Bitcoin Cash"/>
        <s v="Chainlink"/>
        <s v="Monero"/>
        <s v="Hyperliquid"/>
        <s v="The Graph"/>
        <s v="JUST"/>
        <s v="BitTorrent [New]"/>
        <s v="FLOKI"/>
        <s v="Sun [New]"/>
        <s v="Chiliz"/>
        <s v="Maple Finance"/>
        <s v="DoubleZero"/>
        <s v="IOTA"/>
        <s v="Bitcoin SV"/>
        <s v="Kaia"/>
        <s v="Ethereum Name Service"/>
        <s v="Conflux"/>
        <s v="Trust Wallet Token"/>
        <s v="AINFT"/>
        <s v="Rain"/>
        <s v="Falcon USD"/>
        <s v="Jupiter Perps LP"/>
        <s v="Beldex"/>
        <s v="Ondo US Dollar Yield"/>
        <s v="Fasttoken"/>
        <s v="Usual USD"/>
        <s v="USDai"/>
        <s v="GHO"/>
        <s v="Legacy Frax Dollar"/>
        <s v="SwissBorg"/>
        <s v="Zeebu"/>
        <s v="Ape and Pepe"/>
        <s v="Loaded Lions"/>
        <s v="WeFi"/>
        <s v="Popcat (SOL)"/>
        <s v="MANTRA"/>
        <s v="Verge"/>
        <s v="River"/>
        <s v="XPR Network"/>
        <s v="Snek"/>
        <s v="Loopring"/>
        <s v="Non-Playable Coin"/>
        <s v="Oasis"/>
        <s v="Drift"/>
        <s v="EUR CoinVertible"/>
        <s v="cat in a dogs world"/>
        <s v="Rekt (rekt.com)"/>
        <s v="aelf"/>
        <s v="Alchemy Pay"/>
        <s v="Enjin Coin"/>
        <s v="Solayer"/>
        <s v="Harmony"/>
        <s v="Infrared"/>
        <s v="Tokenlon Network Token"/>
        <s v="WOO"/>
        <s v="Tellor"/>
        <s v="Matrixdock Gold"/>
        <s v="Doodles"/>
        <s v="BounceBit"/>
        <s v="VNDC"/>
        <s v="SMART"/>
        <s v="Plume"/>
        <s v="siren"/>
        <s v="peaq"/>
        <s v="OpenLedger"/>
        <s v="Derive"/>
        <s v="deBridge"/>
        <s v="Constellation"/>
        <s v="Act I : The AI Prophecy"/>
        <s v="HarryPotterObamaSonic10Inu (ERC-20)"/>
        <s v="Fractal Bitcoin"/>
        <s v="TerraClassicUSD"/>
        <s v="AgentLISA"/>
        <s v="Avici"/>
        <s v="Metis"/>
        <s v="Corn"/>
        <s v="Quack AI"/>
        <s v="Liquity"/>
        <s v="哈基米"/>
        <s v="Mango"/>
        <s v="Resolv"/>
        <s v="MetaArena"/>
        <s v="Adshares"/>
        <s v="Elastos"/>
        <s v="Chintai"/>
        <s v="Electronic USD"/>
        <s v="DORA"/>
        <s v="Mira"/>
        <s v="B3 (Base)"/>
        <s v="Ore"/>
        <s v="Orchid"/>
        <s v="MediBloc"/>
        <s v="saffron.finance"/>
        <s v="Vulcan Forged (PYR)"/>
        <s v="Ampleforth Governance Token"/>
        <s v="Naoris Protocol"/>
        <s v="Everlyn AI"/>
        <s v="Limitless"/>
        <s v="Maverick Protocol"/>
        <s v="Invesco QQQ Tokenized ETF (Ondo)"/>
        <s v="Roam"/>
        <s v="Chainbase"/>
        <s v="MAX Exchange Token"/>
        <s v="Puffer"/>
        <s v="Autonolas"/>
        <s v="Cetus Protocol"/>
        <s v="Bless"/>
        <s v="GaiAI"/>
        <s v="Xphere"/>
        <s v="Circle Internet Group Tokenized Stock (Ondo)"/>
        <s v="BugsCoin"/>
        <s v="ROGin AI"/>
        <s v="Ponke"/>
        <s v="Vanar Chain"/>
        <s v="Treehouse"/>
        <s v="Polyhedra Network"/>
        <s v="AS Roma Fan Token"/>
        <s v="Mythos"/>
        <s v="Neutron"/>
        <s v="Highstreet"/>
        <s v="Avail"/>
        <s v="PepeCoin"/>
        <s v="CREPE"/>
        <s v="Coq Inu"/>
        <s v="Alltoscan"/>
        <s v="Zeta"/>
        <s v="Wecan Group"/>
        <s v="XSGD"/>
        <s v="Splendor"/>
        <s v="Avalon Labs (AVL)"/>
        <s v="BFG Token"/>
        <s v="GYEN"/>
        <s v="Alien Worlds"/>
        <s v="Alphabet Class A Tokenized Stock (Ondo)"/>
        <s v="Infinity Ground"/>
        <s v="Agoras: Tau Net"/>
        <s v="PayAI Network"/>
        <s v="Tokemak"/>
        <s v="Diamond"/>
        <s v="World of Dypians"/>
        <s v="Heima"/>
        <s v="World3"/>
        <s v="SWEAT"/>
        <s v="Bella Protocol"/>
        <s v="AVA"/>
        <s v="Telos"/>
        <s v="SIX Token"/>
        <s v="Houdini Swap"/>
        <s v="Tether Gold Tokens"/>
        <s v="Keyboard Cat"/>
        <s v="DuckChain"/>
        <s v="Kryll"/>
        <s v="xU3O8"/>
        <s v="Stonks"/>
        <s v="HAiO"/>
        <s v="Brickken"/>
        <s v="QuickSwap [Old]"/>
        <s v="Cointel"/>
        <s v="Quantoz USDQ"/>
        <s v="Daddy Tate"/>
        <s v="0x0.ai"/>
        <s v="Equilibria Finance"/>
        <s v="Russell"/>
        <s v="Fair and Free"/>
        <s v="Konnect"/>
        <s v="GOLDAO"/>
        <s v="WHY"/>
        <s v="Semantic Layer"/>
        <s v="Scallop"/>
        <s v="dHedge DAO"/>
        <s v="KAN"/>
        <s v="LC SHIB"/>
        <s v="DOWGE"/>
        <s v="MemeFi"/>
        <s v="Aurory"/>
        <s v="Purple Bitcoin"/>
        <s v="Games for a Living"/>
        <s v="B-Lucky"/>
        <s v="AIVille Governance Token"/>
        <s v="Stella"/>
        <s v="Electra Protocol"/>
        <s v="Lingo"/>
        <s v="My Lovely Planet"/>
        <s v="Upland (SPARKLET)"/>
        <s v="Helium IOT"/>
        <s v="Broccoli (firstbroccoli.com)"/>
        <s v="WELF"/>
        <s v="CateCoin"/>
        <s v="Moby"/>
        <s v="Particl"/>
        <s v="Custodiy"/>
        <s v="Trusta.AI"/>
        <s v="XSwap"/>
        <s v="Metahero"/>
        <s v="Portugal National Team Fan Token"/>
        <s v="AstraAI"/>
        <s v="Worldwide USD"/>
        <s v="Ultra"/>
        <s v="Mysterium"/>
        <s v="Mayflower AI"/>
        <s v="HOSKY Token"/>
        <s v="BlackFort Exchange Network"/>
        <s v="PussFi"/>
        <s v="KaiChain"/>
        <s v="DaGama World"/>
        <s v="Gochujangcoin"/>
        <s v="VNX Gold"/>
        <s v="Roaring Kitty"/>
        <s v="BitShares"/>
        <s v="Renta Network"/>
        <s v="Department Of Government Efficiency (dogegov.com)"/>
        <s v="STAT"/>
        <s v="Artrade"/>
        <s v="Wise Monkey"/>
        <s v="Cellframe"/>
        <s v="Omnity Convertible Token"/>
        <s v="RHEA Finance"/>
        <s v="Grok"/>
        <s v="TEMCO"/>
        <s v="U"/>
        <s v="Botto"/>
        <s v="Guild of Guardians"/>
        <s v="Rejuve.AI"/>
        <s v="Procter &amp; Gamble Tokenized Stock (Ondo)"/>
        <s v="Coupon Assets"/>
        <s v="ZClassic"/>
        <s v="bitsCrunch"/>
        <s v="U2U Network"/>
        <s v="TokenFi"/>
        <s v="Microsoft Tokenized Stock (Ondo)"/>
        <s v="Unizen"/>
        <s v="Giggle Panda"/>
        <s v="Cere Network"/>
        <s v="Billy (Bitcoin)"/>
        <s v="Harold"/>
        <s v="Cortex"/>
        <s v="LATOKEN"/>
        <s v="Aerobud"/>
        <s v="Pandu Pandas"/>
        <s v="Cream Finance"/>
        <s v="Micron Technology Tokenized Stock (Ondo)"/>
        <s v="Trabzonspor Fan Token"/>
        <s v="DOYR"/>
        <s v="Step App"/>
        <s v="Tottenham Hotspur Fan Token"/>
        <s v="Jerry The Turtle By Matt Furie"/>
        <s v="DFI.Money"/>
        <s v="Pepe 2.0 (pepe20.vip)"/>
        <s v="Rizzmas"/>
        <s v="Samoyedcoin"/>
        <s v="ShibaDoge"/>
        <s v="v.systems"/>
        <s v="mStable Governance Token: Meta (MTA)"/>
        <s v="Presearch"/>
        <s v="Port3 Network"/>
        <s v="Project WITH"/>
        <s v="RWA Inc."/>
        <s v="AgriDex"/>
        <s v="Anome"/>
        <s v="VIDT DAO"/>
        <s v="Radiant"/>
        <s v="Donkey (DONKEY_BSC_MEME)"/>
        <s v="Taraxa"/>
        <s v="Kyuzo's Friends"/>
        <s v="Minati Coin"/>
        <s v="Brett (ETH)"/>
        <s v="yesnoerror"/>
        <s v="LogX Network"/>
        <s v="Riser"/>
        <s v="VICE Token"/>
        <s v="Young Peezy AKA Pepe"/>
        <s v="JMPT Rewards"/>
        <s v="SwarmNode.ai"/>
        <s v="Serum"/>
        <s v="Amber tokenized stock (xStock)"/>
        <s v="StupidCoin"/>
        <s v="SuperTrust"/>
        <s v="Fusion"/>
      </sharedItems>
    </cacheField>
    <cacheField name="Symbol" numFmtId="0">
      <sharedItems count="288">
        <s v="CMC20"/>
        <s v="BTC"/>
        <s v="ETH"/>
        <s v="USDT"/>
        <s v="BNB"/>
        <s v="XRP"/>
        <s v="USDC"/>
        <s v="SOL"/>
        <s v="TRX"/>
        <s v="DOGE"/>
        <s v="ADA"/>
        <s v="BCH"/>
        <s v="LINK"/>
        <s v="XMR"/>
        <s v="HYPE"/>
        <s v="GRT"/>
        <s v="JST"/>
        <s v="BTT"/>
        <s v="FLOKI"/>
        <s v="SUN"/>
        <s v="CHZ"/>
        <s v="SYRUP"/>
        <s v="2Z"/>
        <s v="IOTA"/>
        <s v="BSV"/>
        <s v="KAIA"/>
        <s v="ENS"/>
        <s v="CFX"/>
        <s v="TWT"/>
        <s v="NFT"/>
        <s v="RAIN"/>
        <s v="USDf"/>
        <s v="JLP"/>
        <s v="BDX"/>
        <s v="USDY"/>
        <s v="FTN"/>
        <s v="USD0"/>
        <s v="USDAI"/>
        <s v="GHO"/>
        <s v="FRAX"/>
        <s v="BORG"/>
        <s v="ZBU"/>
        <s v="APEPE"/>
        <s v="LION"/>
        <s v="WFI"/>
        <s v="POPCAT"/>
        <s v="OM"/>
        <s v="XVG"/>
        <s v="RIVER"/>
        <s v="XPR"/>
        <s v="SNEK"/>
        <s v="LRC"/>
        <s v="NPC"/>
        <s v="ROSE"/>
        <s v="DRIFT"/>
        <s v="EURCV"/>
        <s v="MEW"/>
        <s v="REKT"/>
        <s v="ELF"/>
        <s v="ACH"/>
        <s v="ENJ"/>
        <s v="LAYER"/>
        <s v="ONE"/>
        <s v="IR"/>
        <s v="LON"/>
        <s v="WOO"/>
        <s v="TRB"/>
        <s v="XAUM"/>
        <s v="DOOD"/>
        <s v="BB"/>
        <s v="VNDC"/>
        <s v="SMART"/>
        <s v="PLUME"/>
        <s v="SIREN"/>
        <s v="PEAQ"/>
        <s v="OPEN"/>
        <s v="DRV"/>
        <s v="DBR"/>
        <s v="DAG"/>
        <s v="ACT"/>
        <s v="BITCOIN"/>
        <s v="FB"/>
        <s v="USTC"/>
        <s v="LISA"/>
        <s v="AVICI"/>
        <s v="METIS"/>
        <s v="CORN"/>
        <s v="Q"/>
        <s v="LQTY"/>
        <s v="哈基米"/>
        <s v="MNGO"/>
        <s v="RESOLV"/>
        <s v="TIMI"/>
        <s v="ADS"/>
        <s v="ELA"/>
        <s v="CHEX"/>
        <s v="eUSD"/>
        <s v="DORA"/>
        <s v="MIRA"/>
        <s v="B3"/>
        <s v="ORE"/>
        <s v="OXT"/>
        <s v="MED"/>
        <s v="SFI"/>
        <s v="PYR"/>
        <s v="FORTH"/>
        <s v="NAORIS"/>
        <s v="LYN"/>
        <s v="LMTS"/>
        <s v="MAV"/>
        <s v="QQQon"/>
        <s v="ROAM"/>
        <s v="C"/>
        <s v="MAX"/>
        <s v="PUFFER"/>
        <s v="OLAS"/>
        <s v="CETUS"/>
        <s v="BLESS"/>
        <s v="GAIX"/>
        <s v="XP"/>
        <s v="CRCLon"/>
        <s v="BGSC"/>
        <s v="ROG"/>
        <s v="PONKE"/>
        <s v="VANRY"/>
        <s v="TREE"/>
        <s v="ZKJ"/>
        <s v="ASR"/>
        <s v="MYTH"/>
        <s v="NTRN"/>
        <s v="HIGH"/>
        <s v="AVAIL"/>
        <s v="PEPECOIN"/>
        <s v="CREPE"/>
        <s v="COQ"/>
        <s v="ATS"/>
        <s v="ZEX"/>
        <s v="WECAN"/>
        <s v="XSGD"/>
        <s v="SPLD"/>
        <s v="AVL"/>
        <s v="BFG"/>
        <s v="GYEN"/>
        <s v="TLM"/>
        <s v="GOOGLon"/>
        <s v="AIN"/>
        <s v="AGRS"/>
        <s v="PAYAI"/>
        <s v="TOKE"/>
        <s v="DMD"/>
        <s v="WOD"/>
        <s v="HEI"/>
        <s v="WAI"/>
        <s v="SWEAT"/>
        <s v="BEL"/>
        <s v="AVA"/>
        <s v="TLOS"/>
        <s v="SIX"/>
        <s v="LOCK"/>
        <s v="XAUT0"/>
        <s v="KEYCAT"/>
        <s v="DUCK"/>
        <s v="KRL"/>
        <s v="XU3O8"/>
        <s v="STNK"/>
        <s v="HAIO"/>
        <s v="BKN"/>
        <s v="QUICK"/>
        <s v="COLS"/>
        <s v="USDQ"/>
        <s v="DADDY"/>
        <s v="0x0"/>
        <s v="EQB"/>
        <s v="RUSSELL"/>
        <s v="FAIR3"/>
        <s v="KCT"/>
        <s v="GOLDAO"/>
        <s v="WHY"/>
        <s v="42"/>
        <s v="SCA"/>
        <s v="DHT"/>
        <s v="KAN"/>
        <s v="LC"/>
        <s v="DJI6930"/>
        <s v="MEMEFI"/>
        <s v="AURY"/>
        <s v="PBTC"/>
        <s v="GFAL"/>
        <s v="LUCKY"/>
        <s v="AIV"/>
        <s v="ALPHA"/>
        <s v="XEP"/>
        <s v="LINGO"/>
        <s v="MLC"/>
        <s v="SPARKLET"/>
        <s v="IOT"/>
        <s v="BROCCOLI"/>
        <s v="WELF"/>
        <s v="CATE"/>
        <s v="MOBY"/>
        <s v="PART"/>
        <s v="CTY"/>
        <s v="TA"/>
        <s v="XSWAP"/>
        <s v="HERO"/>
        <s v="POR"/>
        <s v="ASTRA"/>
        <s v="WUSD"/>
        <s v="UOS"/>
        <s v="MYST"/>
        <s v="MAY"/>
        <s v="HOSKY"/>
        <s v="BXN"/>
        <s v="PUSS"/>
        <s v="KAI"/>
        <s v="DGMA"/>
        <s v="GOCHU"/>
        <s v="VNXAU"/>
        <s v="ROAR"/>
        <s v="BTS"/>
        <s v="RENTA"/>
        <s v="STAT"/>
        <s v="ATR"/>
        <s v="MONKY"/>
        <s v="CELL"/>
        <s v="OCT"/>
        <s v="RHEA"/>
        <s v="GROK"/>
        <s v="TEMCO"/>
        <s v="U"/>
        <s v="BOTTO"/>
        <s v="GOG"/>
        <s v="RJV"/>
        <s v="PGon"/>
        <s v="CA"/>
        <s v="ZCL"/>
        <s v="BCUT"/>
        <s v="U2U"/>
        <s v="TOKEN"/>
        <s v="MSFTon"/>
        <s v="ZCX"/>
        <s v="GIGL"/>
        <s v="CERE"/>
        <s v="BILLY"/>
        <s v="HAROLD"/>
        <s v="CTXC"/>
        <s v="LA"/>
        <s v="AEROBUD"/>
        <s v="PANDU"/>
        <s v="CREAM"/>
        <s v="MUon"/>
        <s v="TRA"/>
        <s v="DOYR"/>
        <s v="FITFI"/>
        <s v="SPURS"/>
        <s v="JYAI"/>
        <s v="YFII"/>
        <s v="PEPE2.0"/>
        <s v="RIZZMAS"/>
        <s v="SAMO"/>
        <s v="SHIBDOGE"/>
        <s v="VSYS"/>
        <s v="MTA"/>
        <s v="PRE"/>
        <s v="PORT3"/>
        <s v="WIKEN"/>
        <s v="RWAINC"/>
        <s v="AGRI"/>
        <s v="ANOME"/>
        <s v="VIDT"/>
        <s v="RXD"/>
        <s v="DONKEY"/>
        <s v="TARA"/>
        <s v="KO"/>
        <s v="MNTC"/>
        <s v="BRETT"/>
        <s v="YNE"/>
        <s v="LOGX"/>
        <s v="RIS"/>
        <s v="VICE"/>
        <s v="PEEZY"/>
        <s v="JMPT"/>
        <s v="SNAI"/>
        <s v="SRM"/>
        <s v="AMBRX"/>
        <s v="STUPID"/>
        <s v="SUT"/>
        <s v="FSN"/>
      </sharedItems>
    </cacheField>
    <cacheField name="Price (USD)" numFmtId="0">
      <sharedItems containsSemiMixedTypes="0" containsString="0" containsNumber="1" minValue="0" maxValue="88617.76" count="240">
        <n v="186.71"/>
        <n v="88617.76"/>
        <n v="2995.26"/>
        <n v="0.99960000000000004"/>
        <n v="855.25"/>
        <n v="1.93"/>
        <n v="0.99970000000000003"/>
        <n v="125.68"/>
        <n v="0.28510000000000002"/>
        <n v="0.1318"/>
        <n v="0.37030000000000002"/>
        <n v="586.88"/>
        <n v="12.58"/>
        <n v="469.29"/>
        <n v="24.21"/>
        <n v="3.7199999999999997E-2"/>
        <n v="3.9899999999999998E-2"/>
        <n v="6.4000000000000001E-2"/>
        <n v="0"/>
        <n v="2.0199999999999999E-2"/>
        <n v="3.7100000000000001E-2"/>
        <n v="0.3291"/>
        <n v="0.108"/>
        <n v="8.9200000000000002E-2"/>
        <n v="18.7"/>
        <n v="0.06"/>
        <n v="9.68"/>
        <n v="7.1300000000000002E-2"/>
        <n v="0.83689999999999998"/>
        <n v="6.3500000000000001E-2"/>
        <n v="7.6E-3"/>
        <n v="0.99770000000000003"/>
        <n v="4.53"/>
        <n v="9.7500000000000003E-2"/>
        <n v="1.1100000000000001"/>
        <n v="1.39"/>
        <n v="0.99819999999999998"/>
        <n v="1"/>
        <n v="0.99939999999999996"/>
        <n v="0.99409999999999998"/>
        <n v="0.27060000000000001"/>
        <n v="0.60119999999999996"/>
        <n v="5.1200000000000002E-2"/>
        <n v="6.8999999999999999E-3"/>
        <n v="2.67"/>
        <n v="8.1500000000000003E-2"/>
        <n v="6.9599999999999995E-2"/>
        <n v="4.7999999999999996E-3"/>
        <n v="4.05"/>
        <n v="2.8E-3"/>
        <n v="1.1000000000000001E-3"/>
        <n v="5.7500000000000002E-2"/>
        <n v="1.04E-2"/>
        <n v="0.15579999999999999"/>
        <n v="1.17"/>
        <n v="8.9999999999999998E-4"/>
        <n v="6.2700000000000006E-2"/>
        <n v="9.3899999999999997E-2"/>
        <n v="7.7999999999999996E-3"/>
        <n v="2.76E-2"/>
        <n v="0.16919999999999999"/>
        <n v="3.5999999999999999E-3"/>
        <n v="0.25769999999999998"/>
        <n v="0.4234"/>
        <n v="2.7699999999999999E-2"/>
        <n v="19.14"/>
        <n v="4356.1000000000004"/>
        <n v="6.7000000000000002E-3"/>
        <n v="5.6399999999999999E-2"/>
        <n v="1.66E-2"/>
        <n v="7.0999999999999994E-2"/>
        <n v="3.1199999999999999E-2"/>
        <n v="0.17610000000000001"/>
        <n v="5.1400000000000001E-2"/>
        <n v="1.9599999999999999E-2"/>
        <n v="1.2999999999999999E-2"/>
        <n v="3.9399999999999998E-2"/>
        <n v="3.73E-2"/>
        <n v="0.40689999999999998"/>
        <n v="0.17199999999999999"/>
        <n v="2.88"/>
        <n v="5.44"/>
        <n v="7.0599999999999996E-2"/>
        <n v="1.41E-2"/>
        <n v="0.38679999999999998"/>
        <n v="3.6700000000000003E-2"/>
        <n v="2.52E-2"/>
        <n v="8.2100000000000006E-2"/>
        <n v="7.6799999999999993E-2"/>
        <n v="0.72240000000000004"/>
        <n v="1.2"/>
        <n v="0.1278"/>
        <n v="65.61"/>
        <n v="2.7300000000000001E-2"/>
        <n v="2.5000000000000001E-3"/>
        <n v="295.72000000000003"/>
        <n v="0.47370000000000001"/>
        <n v="1.47"/>
        <n v="3.5099999999999999E-2"/>
        <n v="8.2199999999999995E-2"/>
        <n v="0.15909999999999999"/>
        <n v="2.64E-2"/>
        <n v="619.67999999999995"/>
        <n v="8.4599999999999995E-2"/>
        <n v="0.32119999999999999"/>
        <n v="5.9700000000000003E-2"/>
        <n v="0.09"/>
        <n v="2.3400000000000001E-2"/>
        <n v="1.12E-2"/>
        <n v="0.12540000000000001"/>
        <n v="7.0000000000000001E-3"/>
        <n v="86.24"/>
        <n v="1.4E-3"/>
        <n v="0.2422"/>
        <n v="2.92E-2"/>
        <n v="7.4999999999999997E-3"/>
        <n v="0.1037"/>
        <n v="3.85E-2"/>
        <n v="1.99"/>
        <n v="1.83E-2"/>
        <n v="0.2051"/>
        <n v="0.14760000000000001"/>
        <n v="6.1899999999999997E-2"/>
        <n v="0.13120000000000001"/>
        <n v="2.2000000000000001E-3"/>
        <n v="0.77400000000000002"/>
        <n v="0.29049999999999998"/>
        <n v="8.0100000000000005E-2"/>
        <n v="1.15E-2"/>
        <n v="6.1000000000000004E-3"/>
        <n v="2E-3"/>
        <n v="307.41000000000003"/>
        <n v="4.9599999999999998E-2"/>
        <n v="0.41920000000000002"/>
        <n v="1.03E-2"/>
        <n v="0.121"/>
        <n v="2.62"/>
        <n v="2.75E-2"/>
        <n v="0.1197"/>
        <n v="3.5900000000000001E-2"/>
        <n v="0.1268"/>
        <n v="1.01E-2"/>
        <n v="2.2700000000000001E-2"/>
        <n v="1.1900000000000001E-2"/>
        <n v="0.1114"/>
        <n v="4354.6000000000004"/>
        <n v="1E-3"/>
        <n v="0.2031"/>
        <n v="5.05"/>
        <n v="13.89"/>
        <n v="2.4299999999999999E-2"/>
        <n v="9.9500000000000005E-2"/>
        <n v="11.3"/>
        <n v="0.99909999999999999"/>
        <n v="1.3299999999999999E-2"/>
        <n v="9.1999999999999998E-3"/>
        <n v="0.23469999999999999"/>
        <n v="8.2000000000000007E-3"/>
        <n v="8.5000000000000006E-3"/>
        <n v="7.9000000000000008E-3"/>
        <n v="7.1499999999999994E-2"/>
        <n v="4.2200000000000001E-2"/>
        <n v="4.4400000000000002E-2"/>
        <n v="0.1143"/>
        <n v="5.9999999999999995E-4"/>
        <n v="6.6E-3"/>
        <n v="6.1999999999999998E-3"/>
        <n v="8.1600000000000006E-2"/>
        <n v="0.31659999999999999"/>
        <n v="1.6999999999999999E-3"/>
        <n v="1.8E-3"/>
        <n v="5.1999999999999998E-3"/>
        <n v="2.9999999999999997E-4"/>
        <n v="5.2900000000000003E-2"/>
        <n v="2.1000000000000001E-2"/>
        <n v="2.0000000000000001E-4"/>
        <n v="4.8999999999999998E-3"/>
        <n v="0.38540000000000002"/>
        <n v="7.85E-2"/>
        <n v="0.31380000000000002"/>
        <n v="9.76"/>
        <n v="2.1299999999999999E-2"/>
        <n v="1.6199999999999999E-2"/>
        <n v="8.0000000000000004E-4"/>
        <n v="0.47410000000000002"/>
        <n v="0.40710000000000002"/>
        <n v="0.20180000000000001"/>
        <n v="1.21E-2"/>
        <n v="7.1800000000000003E-2"/>
        <n v="4.5999999999999999E-3"/>
        <n v="6.5100000000000005E-2"/>
        <n v="6.3600000000000004E-2"/>
        <n v="136.32"/>
        <n v="3.2000000000000002E-3"/>
        <n v="6.4000000000000003E-3"/>
        <n v="3.3E-3"/>
        <n v="3.9199999999999999E-2"/>
        <n v="6.3700000000000007E-2"/>
        <n v="0.1105"/>
        <n v="3.1600000000000003E-2"/>
        <n v="1.5699999999999999E-2"/>
        <n v="5.0000000000000001E-4"/>
        <n v="3.0999999999999999E-3"/>
        <n v="6.3799999999999996E-2"/>
        <n v="3.8E-3"/>
        <n v="3.3999999999999998E-3"/>
        <n v="145.96"/>
        <n v="0.27050000000000002"/>
        <n v="0.27979999999999999"/>
        <n v="4.3E-3"/>
        <n v="2.5999999999999999E-3"/>
        <n v="486.67"/>
        <n v="4.0000000000000001E-3"/>
        <n v="4.0000000000000002E-4"/>
        <n v="1.09E-2"/>
        <n v="5.4000000000000003E-3"/>
        <n v="2.0999999999999999E-3"/>
        <n v="1.1000000000000001"/>
        <n v="269.86"/>
        <n v="0.26769999999999999"/>
        <n v="0.1804"/>
        <n v="52.74"/>
        <n v="8.43E-2"/>
        <n v="5.4100000000000002E-2"/>
        <n v="3.0099999999999998E-2"/>
        <n v="4.1999999999999997E-3"/>
        <n v="2.3999999999999998E-3"/>
        <n v="1.6000000000000001E-3"/>
        <n v="5.7999999999999996E-3"/>
        <n v="5.4899999999999997E-2"/>
        <n v="1.9E-3"/>
        <n v="1E-4"/>
        <n v="0.25850000000000001"/>
        <n v="1.9699999999999999E-2"/>
        <n v="1.2999999999999999E-3"/>
        <n v="0.71079999999999999"/>
        <n v="5.1000000000000004E-3"/>
        <n v="1.78"/>
        <n v="0.65690000000000004"/>
        <n v="1.7000000000000001E-2"/>
      </sharedItems>
    </cacheField>
    <cacheField name="1h Change (%)" numFmtId="0">
      <sharedItems containsSemiMixedTypes="0" containsString="0" containsNumber="1" minValue="0" maxValue="0.1186"/>
    </cacheField>
    <cacheField name="Market Cap" numFmtId="0">
      <sharedItems containsSemiMixedTypes="0" containsString="0" containsNumber="1" containsInteger="1" minValue="1329457" maxValue="1769018049912"/>
    </cacheField>
    <cacheField name="Volume (24h) USD" numFmtId="0">
      <sharedItems containsSemiMixedTypes="0" containsString="0" containsNumber="1" containsInteger="1" minValue="0" maxValue="49537630315"/>
    </cacheField>
    <cacheField name="Circulating Supply" numFmtId="0">
      <sharedItems count="274">
        <s v="34.19K"/>
        <s v="19.96M"/>
        <s v="120.69M"/>
        <s v="186.82B"/>
        <s v="137.73M"/>
        <s v="60.57B"/>
        <s v="77.06B"/>
        <s v="562.29M"/>
        <s v="94.68B"/>
        <s v="167.98B"/>
        <s v="35.92B"/>
        <s v="708.09M"/>
        <s v="18.44M"/>
        <s v="336.68M"/>
        <s v="10.65B"/>
        <s v="9.9B"/>
        <s v="986.06T"/>
        <s v="9.54T"/>
        <s v="19.18B"/>
        <s v="10.17B"/>
        <s v="1.14B"/>
        <s v="3.47B"/>
        <s v="4.19B"/>
        <s v="6.19B"/>
        <s v="38.19M"/>
        <s v="5.16B"/>
        <s v="429.86M"/>
        <s v="999.99T"/>
        <s v="339.53B"/>
        <s v="2.11B"/>
        <s v="338.43M"/>
        <s v="7.47B"/>
        <s v="622.76M"/>
        <s v="436.26M"/>
        <s v="563.83M"/>
        <s v="501.35M"/>
        <s v="495.25M"/>
        <s v="280.35M"/>
        <s v="982.25M"/>
        <s v="413.62M"/>
        <s v="210T"/>
        <s v="30.84B"/>
        <s v="76.17M"/>
        <s v="979.97M"/>
        <s v="16.52B"/>
        <s v="19.6M"/>
        <s v="28.23B"/>
        <s v="74.76B"/>
        <s v="1.36B"/>
        <s v="7.53B"/>
        <s v="7.48B"/>
        <s v="494.54M"/>
        <s v="65.75M"/>
        <s v="88.88B"/>
        <s v="280.13T"/>
        <s v="816.17M"/>
        <s v="9.78B"/>
        <s v="1.91B"/>
        <s v="312.51M"/>
        <s v="14.79B"/>
        <s v="205M"/>
        <s v="124.08M"/>
        <s v="1.89B"/>
        <s v="2.73M"/>
        <s v="12.01K"/>
        <s v="7.8B"/>
        <s v="927.62M"/>
        <s v="1.41T"/>
        <s v="6.72B"/>
        <s v="3.13B"/>
        <s v="728.92M"/>
        <s v="1.65B"/>
        <s v="215.5M"/>
        <s v="737.52M"/>
        <s v="1.92B"/>
        <s v="2.87B"/>
        <s v="948.24M"/>
        <s v="999.79M"/>
        <s v="91.49M"/>
        <s v="5.58B"/>
        <s v="216.22M"/>
        <s v="12.89M"/>
        <s v="6.81M"/>
        <s v="525M"/>
        <s v="2.62B"/>
        <s v="95.51M"/>
        <s v="1B"/>
        <s v="1.11B"/>
        <s v="341.26M"/>
        <s v="364.35M"/>
        <s v="38.74M"/>
        <s v="23.03M"/>
        <s v="998.92M"/>
        <s v="27.49M"/>
        <s v="990.08M"/>
        <s v="214.02M"/>
        <s v="31.37B"/>
        <s v="415.6K"/>
        <s v="997.21M"/>
        <s v="10.64B"/>
        <s v="91.42K"/>
        <s v="44.93M"/>
        <s v="14.34M"/>
        <s v="599.26M"/>
        <s v="255.63M"/>
        <s v="131.59M"/>
        <s v="792.71M"/>
        <s v="33.61K"/>
        <s v="331.38M"/>
        <s v="245.71M"/>
        <s v="64.63M"/>
        <s v="347.18M"/>
        <s v="229.91M"/>
        <s v="884.42M"/>
        <s v="1.84B"/>
        <s v="164.16M"/>
        <s v="2.36B"/>
        <s v="189.97K"/>
        <s v="11.56B"/>
        <s v="66.98M"/>
        <s v="555.54M"/>
        <s v="2.15B"/>
        <s v="156.12M"/>
        <s v="416.83M"/>
        <s v="8.01M"/>
        <s v="869.7M"/>
        <s v="630.89M"/>
        <s v="77.59M"/>
        <s v="2.34B"/>
        <s v="107.05M"/>
        <s v="580.81B"/>
        <s v="69.42T"/>
        <s v="100M"/>
        <s v="187.76M"/>
        <s v="6B"/>
        <s v="16.78M"/>
        <s v="44.7M"/>
        <s v="161.68M"/>
        <s v="1.12B"/>
        <s v="2.09B"/>
        <s v="6.24B"/>
        <s v="41.5K"/>
        <s v="256.77M"/>
        <s v="29.86M"/>
        <s v="999.92M"/>
        <s v="84.37M"/>
        <s v="3.88M"/>
        <s v="370.45M"/>
        <s v="84.98M"/>
        <s v="283.42M"/>
        <s v="7.19B"/>
        <s v="80M"/>
        <s v="999.2M"/>
        <s v="445.87M"/>
        <s v="850.96M"/>
        <s v="90.79M"/>
        <s v="2.31K"/>
        <s v="10B"/>
        <s v="7.15B"/>
        <s v="39.9M"/>
        <s v="1.6M"/>
        <s v="581.88K"/>
        <s v="331.98M"/>
        <s v="80.61M"/>
        <s v="706.33K"/>
        <s v="566.34M"/>
        <s v="7.98M"/>
        <s v="599.62M"/>
        <s v="868.56M"/>
        <s v="33.82M"/>
        <s v="970.98M"/>
        <s v="935.81M"/>
        <s v="7.37B"/>
        <s v="792.55M"/>
        <s v="420T"/>
        <s v="148.16M"/>
        <s v="140.28M"/>
        <s v="54.37M"/>
        <s v="9.68B"/>
        <s v="944.7M"/>
        <s v="999.97M"/>
        <s v="75.12M"/>
        <s v="19.31M"/>
        <s v="3.7B"/>
        <s v="2.77B"/>
        <s v="961M"/>
        <s v="18.32B"/>
        <s v="486.2M"/>
        <s v="93.14M"/>
        <s v="234.52M"/>
        <s v="20.25B"/>
        <s v="12.65M"/>
        <s v="57.27T"/>
        <s v="15.45M"/>
        <s v="496.54K"/>
        <s v="226.87M"/>
        <s v="298.25M"/>
        <s v="5.09B"/>
        <s v="8.62M"/>
        <s v="9.99M"/>
        <s v="4.05M"/>
        <s v="479.62M"/>
        <s v="20.03M"/>
        <s v="334.17M"/>
        <s v="227.99T"/>
        <s v="4.48B"/>
        <s v="878.82M"/>
        <s v="4.77B"/>
        <s v="61.27M"/>
        <s v="11.17T"/>
        <s v="29.1K"/>
        <s v="2.99B"/>
        <s v="499.71M"/>
        <s v="979.12M"/>
        <s v="80.91M"/>
        <s v="1.26B"/>
        <s v="8.5T"/>
        <s v="28.59M"/>
        <s v="200M"/>
        <s v="6.31B"/>
        <s v="3.97B"/>
        <s v="993.34M"/>
        <s v="48.79M"/>
        <s v="818.88M"/>
        <s v="769.06M"/>
        <s v="17.93K"/>
        <s v="9.67M"/>
        <s v="9.28M"/>
        <s v="603.77M"/>
        <s v="1.52B"/>
        <s v="5.32K"/>
        <s v="650.81M"/>
        <s v="999.99M"/>
        <s v="6.93B"/>
        <s v="787M"/>
        <s v="234.81M"/>
        <s v="380.1M"/>
        <s v="970M"/>
        <s v="96.37B"/>
        <s v="1.85M"/>
        <s v="7.62K"/>
        <s v="7.66M"/>
        <s v="4.33B"/>
        <s v="11.28M"/>
        <s v="69B"/>
        <s v="38.59K"/>
        <s v="469T"/>
        <s v="497.31B"/>
        <s v="3.65B"/>
        <s v="124,602.47E"/>
        <s v="3.57B"/>
        <s v="55.41M"/>
        <s v="396.57M"/>
        <s v="692.89M"/>
        <s v="1.05B"/>
        <s v="491.56M"/>
        <s v="284M"/>
        <s v="30M"/>
        <s v="869.79M"/>
        <s v="12.89B"/>
        <s v="5.93B"/>
        <s v="217.5M"/>
        <s v="6.27M"/>
        <s v="69.42M"/>
        <s v="547.33M"/>
        <s v="250M"/>
        <s v="995.21M"/>
        <s v="1.89M"/>
        <s v="998.93M"/>
        <s v="263.24M"/>
        <s v="745.99K"/>
        <s v="994.84M"/>
        <s v="2.02M"/>
        <s v="78.23M"/>
      </sharedItems>
    </cacheField>
    <cacheField name="Circulating_Supply($)" numFmtId="0">
      <sharedItems containsString="0" containsBlank="1" containsNumber="1" minValue="2310" maxValue="999990000000000"/>
    </cacheField>
    <cacheField name="DollarVolume per Supply" numFmtId="0">
      <sharedItems containsMixedTypes="1" containsNumber="1" minValue="0" maxValue="796.59852344689375" count="289">
        <n v="32.054050892073704"/>
        <n v="796.59852344689375"/>
        <n v="67.996661918965941"/>
        <n v="0.26516235047104164"/>
        <n v="10.036704828287229"/>
        <n v="3.9865698613174842E-2"/>
        <n v="5.3079776888139113E-2"/>
        <n v="3.1824442440733431"/>
        <n v="4.7161481727925648E-3"/>
        <n v="3.0865075604238601E-3"/>
        <n v="9.2917904510022263E-3"/>
        <n v="14.735925501002004"/>
        <n v="0.37411888460506432"/>
        <n v="11.575068546637745"/>
        <n v="0.45104796542711179"/>
        <n v="1.1739217840375587E-3"/>
        <n v="2.7451648484848484E-3"/>
        <n v="1.0788728880595502E-8"/>
        <n v="2.1443098532494758E-6"/>
        <n v="9.3069478623566211E-4"/>
        <n v="1.2726038544739429E-2"/>
        <n v="2.3979351754385966E-2"/>
        <n v="2.8696616714697408E-3"/>
        <n v="2.1679105011933172E-3"/>
        <n v="0.54534138276553101"/>
        <n v="2.6731297253634895E-3"/>
        <n v="0.49579960722702276"/>
        <n v="2.1762998062015504E-3"/>
        <n v="3.6266463499744106E-2"/>
        <n v="1.8785392853928538E-8"/>
        <n v="7.6358315907283598E-5"/>
        <n v="2.7681753554502375E-4"/>
        <n v="4.3103864905593474E-2"/>
        <n v="1.4491353413654618E-3"/>
        <n v="2.3954525017663305E-3"/>
        <n v="3.3980990693623071E-2"/>
        <n v="6.3855062696202753E-4"/>
        <n v="0"/>
        <n v="2.2698838970217061E-4"/>
        <n v="6.6012484394506867E-4"/>
        <n v="2.0976838890302877E-4"/>
        <n v="3.9384700933223731E-4"/>
        <n v="1.4709027142857144E-7"/>
        <n v="2.3325648508430609E-5"/>
        <n v="2.862036234738086E-2"/>
        <n v="8.3762125371184826E-3"/>
        <n v="2.4519108771929823E-2"/>
        <n v="2.4487288135593223E-4"/>
        <n v="1.0426348469387756"/>
        <n v="8.9097732908253636E-5"/>
        <n v="4.8347431781701447E-5"/>
        <n v="1.0148926470588236E-2"/>
        <n v="4.9812456839309427E-4"/>
        <n v="2.4230494652406417E-4"/>
        <n v="1.6051552958304686E-2"/>
        <n v="6.9279011406844102E-2"/>
        <n v="1.3957539378937894E-4"/>
        <n v="1.598529254274801E-9"/>
        <n v="3.3444086403567885E-3"/>
        <n v="4.6892044989775051E-4"/>
        <n v="2.9087759162303665E-3"/>
        <n v="3.1423420050558384E-2"/>
        <n v="2.7102197430696419E-4"/>
        <n v="0.81405492682926828"/>
        <n v="1.3630722114764667E-4"/>
        <n v="6.4807222222222219E-3"/>
        <n v="3.4715384615384615"/>
        <n v="10.069775187343881"/>
        <n v="3.6094944871794873E-3"/>
        <n v="7.2886332765572113E-3"/>
        <n v="4.3218836879432625E-6"/>
        <n v="9.2444196428571431E-5"/>
        <n v="1.819263961661342E-2"/>
        <n v="1.6033000878011305E-2"/>
        <n v="2.6951830303030304E-3"/>
        <n v="4.0869545243619493E-2"/>
        <n v="2.9440964312832195E-4"/>
        <n v="2.5467098958333332E-3"/>
        <n v="2.9030337979094076E-3"/>
        <n v="0.14111217202396018"/>
        <n v="3.7953500235049361E-3"/>
        <n v="3.0625631216526398E-2"/>
        <n v="1.7312752688172044E-3"/>
        <n v="1.5506907732864674"/>
        <n v="0.194311093871218"/>
        <n v="0.6991569750367107"/>
        <n v="1.3661779047619048E-2"/>
        <n v="1.5455007633587785E-3"/>
        <n v="4.283858234739818E-2"/>
        <n v="3.9877669999999997E-3"/>
        <n v="2.0623783783783783E-4"/>
        <n v="0.13027485787962256"/>
        <n v="3.1494222588170716E-2"/>
        <n v="6.3678110480123902E-3"/>
        <n v="3.2467564046895353E-2"/>
        <n v="5.1784126857005563E-4"/>
        <n v="2.8919607129865407E-5"/>
        <n v="3.3926147382029733E-4"/>
        <n v="0.10228671619474815"/>
        <n v="5.8339081925406439E-5"/>
        <n v="2.1057795957651586"/>
        <n v="1.3387723749260437E-2"/>
        <n v="1.0383825187969924E-4"/>
        <n v="9.052723692846204E-2"/>
        <n v="7.874186512352549E-2"/>
        <n v="0.16618221757322177"/>
        <n v="1.7754246904515569E-3"/>
        <n v="9.215021711066777E-3"/>
        <n v="1.3340975758036324E-2"/>
        <n v="2.4266188139420468E-3"/>
        <n v="8.9811365664980656"/>
        <n v="1.832699016235138E-2"/>
        <n v="1.7293598144153675E-2"/>
        <n v="1.9984527309299088E-4"/>
        <n v="7.6849184860879084E-3"/>
        <n v="9.0686355530424946E-4"/>
        <n v="3.9529182967368449E-3"/>
        <n v="2.1770543478260868E-3"/>
        <n v="0.88848903508771926"/>
        <n v="5.757449152542373E-4"/>
        <n v="1.686466284150129"/>
        <n v="3.2345285467128026E-4"/>
        <n v="1.9125111973723497E-5"/>
        <n v="3.7120513374374483E-3"/>
        <n v="8.1784465116279065E-4"/>
        <n v="8.0017025365103772E-2"/>
        <n v="8.2115898567761431E-3"/>
        <n v="8.7990485642946314"/>
        <n v="6.8159135334023226E-5"/>
        <n v="1.6082756106452789E-3"/>
        <n v="3.7639554066245653E-2"/>
        <n v="7.0287649572649573E-4"/>
        <n v="2.8663895375992529E-3"/>
        <n v="3.091649592810041E-6"/>
        <n v="2.1845534428118698E-8"/>
        <n v="1.45988E-3"/>
        <n v="1.1156582871751171E-3"/>
        <n v="6.6496333333333329E-5"/>
        <n v="1.0047616209773539E-2"/>
        <n v="2.2897091722595079E-4"/>
        <n v="7.9019557149925784E-2"/>
        <n v="1.3341071428571428E-5"/>
        <n v="3.4449760765550241E-8"/>
        <n v="5.18163782051282E-4"/>
        <n v="7.0980963855421688"/>
        <n v="1.0045453129259649E-2"/>
        <n v="3.8117883456128599E-4"/>
        <n v="3.7259600768061443E-3"/>
        <n v="2.8505392912172575E-4"/>
        <n v="1.5170876288659794E-2"/>
        <n v="7.8022675124848158E-3"/>
        <n v="2.0544681101435633E-2"/>
        <n v="6.945261449438995E-3"/>
        <n v="2.0771682892906814E-4"/>
        <n v="6.7193387500000007E-2"/>
        <n v="3.3072648118494794E-3"/>
        <n v="4.0523650391369685E-3"/>
        <n v="6.3609570367584843E-4"/>
        <n v="8.3169952637955719E-5"/>
        <n v="41.454545454545453"/>
        <n v="3.9889499999999998E-5"/>
        <n v="3.5970769230769231E-4"/>
        <n v="4.9585714285714285E-3"/>
        <n v="1.2759387499999999"/>
        <n v="0.14011136316766343"/>
        <n v="5.7901710946442553E-3"/>
        <n v="2.7630194764917504E-3"/>
        <n v="1.8305891014115216E-3"/>
        <n v="3.6900695695165448E-3"/>
        <n v="0.42329185463659147"/>
        <n v="2.6031986925052534E-3"/>
        <n v="8.5313622547665096E-6"/>
        <n v="9.3997634535777642E-5"/>
        <n v="4.4302374920183732E-3"/>
        <n v="8.2718714268922115E-5"/>
        <n v="3.7159701492537311E-5"/>
        <n v="3.0610056147877104E-6"/>
        <n v="5.0523095238095235E-10"/>
        <n v="1.231826403887689E-2"/>
        <n v="8.7586897633304822E-3"/>
        <n v="5.5582122494022437E-5"/>
        <n v="4.2291322314049584E-6"/>
        <n v="2.6166296178681064E-4"/>
        <n v="5.2432172965188959E-4"/>
        <n v="2.807172E-4"/>
        <n v="1.218237486687966E-3"/>
        <n v="5.2968928016571722E-3"/>
        <n v="2.3658378378378379E-5"/>
        <n v="2.7657E-5"/>
        <n v="4.5851985559566785E-6"/>
        <n v="3.0730593132154008E-4"/>
        <n v="6.8924126637554587E-6"/>
        <n v="7.4392431098313451E-4"/>
        <n v="4.7551642688426028E-3"/>
        <n v="1.1861802831315026E-3"/>
        <n v="2.4049382716049382E-8"/>
        <n v="8.5480699999999996E-4"/>
        <n v="1.7058418972332016E-2"/>
        <n v="6.5514405447878473E-9"/>
        <n v="1.280193405802174E-3"/>
        <n v="6.5036245954692559E-3"/>
        <n v="0.81070810005236238"/>
        <n v="1.0265619077004452E-2"/>
        <n v="4.0666890192791284E-4"/>
        <n v="1.0170137524557957E-5"/>
        <n v="5.7777842227378189E-2"/>
        <n v="5.806406406406406E-3"/>
        <n v="0.24523604938271604"/>
        <n v="9.427275759976648E-4"/>
        <n v="4.3134797803295061E-3"/>
        <n v="6.3568542957177484E-3"/>
        <n v="1.3144348436334926E-9"/>
        <n v="9.2106250000000006E-5"/>
        <n v="1.2390068500944449E-3"/>
        <n v="1.8666666666666667E-6"/>
        <n v="2.9403492737065447E-2"/>
        <n v="1.3799373321396598E-8"/>
        <n v="2.2393814432989689"/>
        <n v="1.29109E-4"/>
        <n v="2.7462207357859533E-5"/>
        <n v="4.4541033799603771E-4"/>
        <n v="1.0633354440722281E-3"/>
        <n v="4.5106785317018906E-3"/>
        <n v="2.6465317460317459E-4"/>
        <n v="2.2288470588235293E-8"/>
        <n v="2.1678244141308149E-2"/>
        <n v="7.0474000000000003E-4"/>
        <n v="1.6687025000000001E-2"/>
        <n v="5.11095087163233E-5"/>
        <n v="5.3310075566750627E-5"/>
        <n v="2.9533694404735539E-5"/>
        <n v="1.2987907358065177E-3"/>
        <n v="5.6252442360296989E-5"/>
        <n v="3.5491119028424308E-4"/>
        <n v="1.7941438929168991"/>
        <n v="5.6700620475698037E-2"/>
        <n v="1.1961206896551725E-5"/>
        <n v="4.8389287311393411E-4"/>
        <n v="2.7570592105263157E-4"/>
        <n v="1.9318569999999999E-3"/>
        <n v="41.506578947368418"/>
        <n v="1.8512622731672838E-4"/>
        <n v="2.2394023940239401E-4"/>
        <n v="1.1233910533910533E-5"/>
        <n v="3.4460000000000001E-6"/>
        <n v="3.2977128335451078E-5"/>
        <n v="4.3921085132660447E-3"/>
        <n v="1.7890028939752697E-7"/>
        <n v="2.0908041237113401E-4"/>
        <n v="1.1540219985472658E-5"/>
        <n v="2.583135135135135E-2"/>
        <n v="27.970997375328086"/>
        <n v="5.3911749347258488E-2"/>
        <n v="3.927486E-3"/>
        <n v="4.3367459584295613E-4"/>
        <n v="1.5515780141843972E-2"/>
        <n v="4.1177275362318839E-5"/>
        <n v="3.0449857476030058"/>
        <n v="1.5704051172707888E-10"/>
        <n v="1.2207876374896945E-5"/>
        <n v="3.2733972602739726E-5"/>
        <e v="#DIV/0!"/>
        <n v="2.4527703081232493E-4"/>
        <n v="1.4437827107020394E-7"/>
        <n v="9.9856267493758989E-6"/>
        <n v="3.4572414091702868E-3"/>
        <n v="5.7370476190476192E-5"/>
        <n v="5.3836561152249981E-4"/>
        <n v="4.2116549295774649E-4"/>
        <n v="5.4402866666666667E-2"/>
        <n v="1.397406270479081E-4"/>
        <n v="1.3406283941039565E-5"/>
        <n v="2.0957969999999999E-3"/>
        <n v="3.4216357504215853E-5"/>
        <n v="3.0529958620689655E-2"/>
        <n v="2.3665709728867623E-2"/>
        <n v="7.1805099394987035E-3"/>
        <n v="3.2553325533255331E-4"/>
        <n v="1.264703195512762E-4"/>
        <n v="4.6058399999999999E-4"/>
        <n v="1.1589513770962912E-5"/>
        <n v="3E-9"/>
        <n v="4.6259259259259257E-3"/>
        <n v="5.2874575796101834E-4"/>
        <n v="3.5932609025983892E-4"/>
        <n v="1.8767007600638077E-5"/>
        <n v="8.8107534879980701E-4"/>
        <n v="1.7456217821782178"/>
        <n v="7.065064553240445E-5"/>
      </sharedItems>
    </cacheField>
    <cacheField name="RANK" numFmtId="0">
      <sharedItems containsSemiMixedTypes="0" containsString="0" containsNumber="1" containsInteger="1" minValue="1" maxValue="289"/>
    </cacheField>
    <cacheField name="Price Range" numFmtId="0">
      <sharedItems count="8">
        <s v="100–1000"/>
        <s v="10000+"/>
        <s v="1000–10000"/>
        <s v="0.5–1"/>
        <s v="1–2"/>
        <s v="0–0.5"/>
        <s v="10–100"/>
        <s v="2–10"/>
      </sharedItems>
    </cacheField>
  </cacheFields>
  <extLst>
    <ext xmlns:x14="http://schemas.microsoft.com/office/spreadsheetml/2009/9/main" uri="{725AE2AE-9491-48be-B2B4-4EB974FC3084}">
      <x14:pivotCacheDefinition pivotCacheId="418865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x v="0"/>
    <x v="0"/>
    <x v="0"/>
    <n v="5.9999999999999995E-4"/>
    <n v="6385658"/>
    <n v="1095928"/>
    <x v="0"/>
    <n v="34190"/>
    <x v="0"/>
    <n v="175"/>
    <x v="0"/>
  </r>
  <r>
    <x v="1"/>
    <x v="1"/>
    <x v="1"/>
    <n v="2.5000000000000001E-3"/>
    <n v="1769018049912"/>
    <n v="15900106528"/>
    <x v="1"/>
    <n v="19960000"/>
    <x v="1"/>
    <n v="1"/>
    <x v="1"/>
  </r>
  <r>
    <x v="2"/>
    <x v="2"/>
    <x v="2"/>
    <n v="2.0999999999999999E-3"/>
    <n v="361423587738"/>
    <n v="8206517127"/>
    <x v="2"/>
    <n v="120690000"/>
    <x v="2"/>
    <n v="2"/>
    <x v="2"/>
  </r>
  <r>
    <x v="3"/>
    <x v="3"/>
    <x v="3"/>
    <n v="0"/>
    <n v="186753660259"/>
    <n v="49537630315"/>
    <x v="3"/>
    <n v="186820000000"/>
    <x v="3"/>
    <n v="3"/>
    <x v="3"/>
  </r>
  <r>
    <x v="4"/>
    <x v="4"/>
    <x v="4"/>
    <n v="1.6999999999999999E-3"/>
    <n v="117794143481"/>
    <n v="1382355356"/>
    <x v="4"/>
    <n v="137730000"/>
    <x v="4"/>
    <n v="4"/>
    <x v="0"/>
  </r>
  <r>
    <x v="5"/>
    <x v="5"/>
    <x v="5"/>
    <n v="6.8999999999999999E-3"/>
    <n v="117071294680"/>
    <n v="2414665365"/>
    <x v="5"/>
    <n v="60570000000"/>
    <x v="5"/>
    <n v="5"/>
    <x v="4"/>
  </r>
  <r>
    <x v="6"/>
    <x v="6"/>
    <x v="6"/>
    <n v="1E-4"/>
    <n v="77041970766"/>
    <n v="4090327607"/>
    <x v="6"/>
    <n v="77060000000"/>
    <x v="6"/>
    <n v="6"/>
    <x v="3"/>
  </r>
  <r>
    <x v="7"/>
    <x v="7"/>
    <x v="7"/>
    <n v="5.5999999999999999E-3"/>
    <n v="70670265414"/>
    <n v="1789456574"/>
    <x v="7"/>
    <n v="562290000"/>
    <x v="7"/>
    <n v="7"/>
    <x v="0"/>
  </r>
  <r>
    <x v="8"/>
    <x v="8"/>
    <x v="8"/>
    <n v="2.0999999999999999E-3"/>
    <n v="27003517160"/>
    <n v="446524909"/>
    <x v="8"/>
    <n v="94680000000"/>
    <x v="8"/>
    <n v="8"/>
    <x v="5"/>
  </r>
  <r>
    <x v="9"/>
    <x v="9"/>
    <x v="9"/>
    <n v="8.0000000000000002E-3"/>
    <n v="22142131632"/>
    <n v="518471540"/>
    <x v="9"/>
    <n v="167980000000"/>
    <x v="9"/>
    <n v="9"/>
    <x v="5"/>
  </r>
  <r>
    <x v="10"/>
    <x v="10"/>
    <x v="10"/>
    <n v="8.6E-3"/>
    <n v="13306597136"/>
    <n v="333761113"/>
    <x v="10"/>
    <n v="35920000000"/>
    <x v="10"/>
    <n v="10"/>
    <x v="5"/>
  </r>
  <r>
    <x v="11"/>
    <x v="11"/>
    <x v="11"/>
    <n v="3.0999999999999999E-3"/>
    <n v="11719903275"/>
    <n v="294129073"/>
    <x v="1"/>
    <n v="19960000"/>
    <x v="11"/>
    <n v="11"/>
    <x v="0"/>
  </r>
  <r>
    <x v="12"/>
    <x v="12"/>
    <x v="12"/>
    <n v="7.1999999999999998E-3"/>
    <n v="8911264583"/>
    <n v="264909841"/>
    <x v="11"/>
    <n v="708090000"/>
    <x v="12"/>
    <n v="12"/>
    <x v="6"/>
  </r>
  <r>
    <x v="13"/>
    <x v="13"/>
    <x v="13"/>
    <n v="9.4000000000000004E-3"/>
    <n v="8657043978"/>
    <n v="213444264"/>
    <x v="12"/>
    <n v="18440000"/>
    <x v="13"/>
    <n v="13"/>
    <x v="0"/>
  </r>
  <r>
    <x v="14"/>
    <x v="14"/>
    <x v="14"/>
    <n v="5.4999999999999997E-3"/>
    <n v="8152825164"/>
    <n v="151858829"/>
    <x v="13"/>
    <n v="336680000"/>
    <x v="14"/>
    <n v="14"/>
    <x v="6"/>
  </r>
  <r>
    <x v="15"/>
    <x v="15"/>
    <x v="15"/>
    <n v="7.1999999999999998E-3"/>
    <n v="396283095"/>
    <n v="12502267"/>
    <x v="14"/>
    <n v="10650000000"/>
    <x v="15"/>
    <n v="24"/>
    <x v="5"/>
  </r>
  <r>
    <x v="16"/>
    <x v="16"/>
    <x v="16"/>
    <n v="1.4E-3"/>
    <n v="395100959"/>
    <n v="27177132"/>
    <x v="15"/>
    <n v="9900000000"/>
    <x v="16"/>
    <n v="25"/>
    <x v="5"/>
  </r>
  <r>
    <x v="17"/>
    <x v="17"/>
    <x v="17"/>
    <n v="1.8E-3"/>
    <n v="391089084"/>
    <n v="10638334"/>
    <x v="16"/>
    <n v="986060000000000"/>
    <x v="17"/>
    <n v="26"/>
    <x v="5"/>
  </r>
  <r>
    <x v="18"/>
    <x v="18"/>
    <x v="18"/>
    <n v="6.4999999999999997E-3"/>
    <n v="390942713"/>
    <n v="20456716"/>
    <x v="17"/>
    <n v="9540000000000"/>
    <x v="18"/>
    <n v="27"/>
    <x v="5"/>
  </r>
  <r>
    <x v="19"/>
    <x v="19"/>
    <x v="19"/>
    <n v="1.1999999999999999E-3"/>
    <n v="387986393"/>
    <n v="17850726"/>
    <x v="18"/>
    <n v="19180000000"/>
    <x v="19"/>
    <n v="28"/>
    <x v="5"/>
  </r>
  <r>
    <x v="20"/>
    <x v="20"/>
    <x v="20"/>
    <n v="2.4299999999999999E-2"/>
    <n v="377832305"/>
    <n v="129423812"/>
    <x v="19"/>
    <n v="10170000000"/>
    <x v="20"/>
    <n v="29"/>
    <x v="5"/>
  </r>
  <r>
    <x v="21"/>
    <x v="21"/>
    <x v="21"/>
    <n v="6.0000000000000001E-3"/>
    <n v="376034713"/>
    <n v="27336461"/>
    <x v="20"/>
    <n v="1140000000"/>
    <x v="21"/>
    <n v="30"/>
    <x v="5"/>
  </r>
  <r>
    <x v="22"/>
    <x v="22"/>
    <x v="22"/>
    <n v="9.1000000000000004E-3"/>
    <n v="375067798"/>
    <n v="9957726"/>
    <x v="21"/>
    <n v="3470000000"/>
    <x v="22"/>
    <n v="31"/>
    <x v="5"/>
  </r>
  <r>
    <x v="23"/>
    <x v="23"/>
    <x v="23"/>
    <n v="8.0000000000000002E-3"/>
    <n v="374367380"/>
    <n v="9083545"/>
    <x v="22"/>
    <n v="4190000000.0000005"/>
    <x v="23"/>
    <n v="32"/>
    <x v="5"/>
  </r>
  <r>
    <x v="24"/>
    <x v="24"/>
    <x v="24"/>
    <n v="2.7000000000000001E-3"/>
    <n v="373513513"/>
    <n v="10885014"/>
    <x v="1"/>
    <n v="19960000"/>
    <x v="24"/>
    <n v="33"/>
    <x v="6"/>
  </r>
  <r>
    <x v="25"/>
    <x v="25"/>
    <x v="25"/>
    <n v="3.0999999999999999E-3"/>
    <n v="371881052"/>
    <n v="16546673"/>
    <x v="23"/>
    <n v="6190000000"/>
    <x v="25"/>
    <n v="34"/>
    <x v="5"/>
  </r>
  <r>
    <x v="26"/>
    <x v="26"/>
    <x v="26"/>
    <n v="6.4000000000000003E-3"/>
    <n v="369793963"/>
    <n v="18934587"/>
    <x v="24"/>
    <n v="38190000"/>
    <x v="26"/>
    <n v="35"/>
    <x v="7"/>
  </r>
  <r>
    <x v="27"/>
    <x v="27"/>
    <x v="27"/>
    <n v="1.0200000000000001E-2"/>
    <n v="368504918"/>
    <n v="11229707"/>
    <x v="25"/>
    <n v="5160000000"/>
    <x v="27"/>
    <n v="36"/>
    <x v="5"/>
  </r>
  <r>
    <x v="28"/>
    <x v="28"/>
    <x v="28"/>
    <n v="3.5999999999999999E-3"/>
    <n v="359773572"/>
    <n v="15589502"/>
    <x v="26"/>
    <n v="429860000"/>
    <x v="28"/>
    <n v="37"/>
    <x v="3"/>
  </r>
  <r>
    <x v="29"/>
    <x v="29"/>
    <x v="29"/>
    <n v="3.0999999999999999E-3"/>
    <n v="351671089"/>
    <n v="18785205"/>
    <x v="27"/>
    <n v="999990000000000"/>
    <x v="29"/>
    <n v="38"/>
    <x v="5"/>
  </r>
  <r>
    <x v="30"/>
    <x v="30"/>
    <x v="30"/>
    <n v="2.0999999999999999E-3"/>
    <n v="2591576160"/>
    <n v="25925939"/>
    <x v="28"/>
    <n v="339530000000"/>
    <x v="30"/>
    <n v="15"/>
    <x v="5"/>
  </r>
  <r>
    <x v="31"/>
    <x v="31"/>
    <x v="31"/>
    <n v="5.9999999999999995E-4"/>
    <n v="2106884484"/>
    <n v="584085"/>
    <x v="29"/>
    <n v="2109999999.9999998"/>
    <x v="31"/>
    <n v="16"/>
    <x v="3"/>
  </r>
  <r>
    <x v="32"/>
    <x v="32"/>
    <x v="32"/>
    <n v="2.3999999999999998E-3"/>
    <n v="1535961932"/>
    <n v="14587641"/>
    <x v="30"/>
    <n v="338430000"/>
    <x v="32"/>
    <n v="17"/>
    <x v="7"/>
  </r>
  <r>
    <x v="33"/>
    <x v="33"/>
    <x v="33"/>
    <n v="1.5299999999999999E-2"/>
    <n v="729098862"/>
    <n v="10825041"/>
    <x v="31"/>
    <n v="7470000000"/>
    <x v="33"/>
    <n v="18"/>
    <x v="5"/>
  </r>
  <r>
    <x v="34"/>
    <x v="34"/>
    <x v="34"/>
    <n v="1E-4"/>
    <n v="695165286"/>
    <n v="1491792"/>
    <x v="32"/>
    <n v="622760000"/>
    <x v="34"/>
    <n v="19"/>
    <x v="4"/>
  </r>
  <r>
    <x v="35"/>
    <x v="35"/>
    <x v="35"/>
    <n v="1E-4"/>
    <n v="610617101"/>
    <n v="14824547"/>
    <x v="33"/>
    <n v="436260000"/>
    <x v="35"/>
    <n v="20"/>
    <x v="4"/>
  </r>
  <r>
    <x v="36"/>
    <x v="36"/>
    <x v="36"/>
    <n v="0"/>
    <n v="562841704"/>
    <n v="360034"/>
    <x v="34"/>
    <n v="563830000"/>
    <x v="36"/>
    <n v="21"/>
    <x v="3"/>
  </r>
  <r>
    <x v="37"/>
    <x v="37"/>
    <x v="37"/>
    <n v="0"/>
    <n v="501660920"/>
    <n v="0"/>
    <x v="35"/>
    <n v="501350000"/>
    <x v="37"/>
    <n v="22"/>
    <x v="3"/>
  </r>
  <r>
    <x v="38"/>
    <x v="38"/>
    <x v="38"/>
    <n v="2.0000000000000001E-4"/>
    <n v="494983038"/>
    <n v="112416"/>
    <x v="36"/>
    <n v="495250000"/>
    <x v="38"/>
    <n v="23"/>
    <x v="3"/>
  </r>
  <r>
    <x v="39"/>
    <x v="39"/>
    <x v="39"/>
    <n v="1.4E-3"/>
    <n v="278706336"/>
    <n v="185066"/>
    <x v="37"/>
    <n v="280350000"/>
    <x v="39"/>
    <n v="39"/>
    <x v="3"/>
  </r>
  <r>
    <x v="40"/>
    <x v="40"/>
    <x v="40"/>
    <n v="0"/>
    <n v="265798946"/>
    <n v="206045"/>
    <x v="38"/>
    <n v="982250000"/>
    <x v="40"/>
    <n v="40"/>
    <x v="5"/>
  </r>
  <r>
    <x v="41"/>
    <x v="41"/>
    <x v="41"/>
    <n v="2.0000000000000001E-4"/>
    <n v="248711592"/>
    <n v="162903"/>
    <x v="39"/>
    <n v="413620000"/>
    <x v="41"/>
    <n v="41"/>
    <x v="3"/>
  </r>
  <r>
    <x v="42"/>
    <x v="42"/>
    <x v="42"/>
    <n v="8.9999999999999998E-4"/>
    <n v="247500195"/>
    <n v="30888957"/>
    <x v="40"/>
    <n v="210000000000000"/>
    <x v="42"/>
    <n v="42"/>
    <x v="5"/>
  </r>
  <r>
    <x v="43"/>
    <x v="43"/>
    <x v="43"/>
    <n v="2.0000000000000001E-4"/>
    <n v="211588925"/>
    <n v="719363"/>
    <x v="41"/>
    <n v="30840000000"/>
    <x v="43"/>
    <n v="43"/>
    <x v="5"/>
  </r>
  <r>
    <x v="44"/>
    <x v="44"/>
    <x v="44"/>
    <n v="4.1000000000000003E-3"/>
    <n v="203655032"/>
    <n v="2180013"/>
    <x v="42"/>
    <n v="76170000"/>
    <x v="44"/>
    <n v="44"/>
    <x v="7"/>
  </r>
  <r>
    <x v="45"/>
    <x v="45"/>
    <x v="45"/>
    <n v="9.9000000000000008E-3"/>
    <n v="79843036"/>
    <n v="8208437"/>
    <x v="43"/>
    <n v="979970000"/>
    <x v="45"/>
    <n v="45"/>
    <x v="5"/>
  </r>
  <r>
    <x v="46"/>
    <x v="46"/>
    <x v="46"/>
    <n v="4.7000000000000002E-3"/>
    <n v="79635764"/>
    <n v="27951784"/>
    <x v="20"/>
    <n v="1140000000"/>
    <x v="46"/>
    <n v="46"/>
    <x v="5"/>
  </r>
  <r>
    <x v="47"/>
    <x v="47"/>
    <x v="47"/>
    <n v="9.1999999999999998E-3"/>
    <n v="79478245"/>
    <n v="4045300"/>
    <x v="44"/>
    <n v="16520000000"/>
    <x v="47"/>
    <n v="47"/>
    <x v="5"/>
  </r>
  <r>
    <x v="48"/>
    <x v="48"/>
    <x v="48"/>
    <n v="3.5000000000000001E-3"/>
    <n v="79390425"/>
    <n v="20435643"/>
    <x v="45"/>
    <n v="19600000"/>
    <x v="48"/>
    <n v="48"/>
    <x v="7"/>
  </r>
  <r>
    <x v="49"/>
    <x v="49"/>
    <x v="49"/>
    <n v="1E-3"/>
    <n v="79288970"/>
    <n v="2515229"/>
    <x v="46"/>
    <n v="28230000000"/>
    <x v="49"/>
    <n v="49"/>
    <x v="5"/>
  </r>
  <r>
    <x v="50"/>
    <x v="50"/>
    <x v="50"/>
    <n v="4.5999999999999999E-3"/>
    <n v="78874838"/>
    <n v="3614454"/>
    <x v="47"/>
    <n v="74760000000"/>
    <x v="50"/>
    <n v="50"/>
    <x v="5"/>
  </r>
  <r>
    <x v="51"/>
    <x v="51"/>
    <x v="51"/>
    <n v="7.1000000000000004E-3"/>
    <n v="78721990"/>
    <n v="13802540"/>
    <x v="48"/>
    <n v="1360000000"/>
    <x v="51"/>
    <n v="51"/>
    <x v="5"/>
  </r>
  <r>
    <x v="52"/>
    <x v="52"/>
    <x v="52"/>
    <n v="4.7999999999999996E-3"/>
    <n v="78155285"/>
    <n v="3750878"/>
    <x v="49"/>
    <n v="7530000000"/>
    <x v="52"/>
    <n v="52"/>
    <x v="5"/>
  </r>
  <r>
    <x v="53"/>
    <x v="53"/>
    <x v="52"/>
    <n v="8.3999999999999995E-3"/>
    <n v="77913243"/>
    <n v="1812441"/>
    <x v="50"/>
    <n v="7480000000"/>
    <x v="53"/>
    <n v="53"/>
    <x v="5"/>
  </r>
  <r>
    <x v="54"/>
    <x v="54"/>
    <x v="53"/>
    <n v="7.6E-3"/>
    <n v="77060203"/>
    <n v="7938135"/>
    <x v="51"/>
    <n v="494540000"/>
    <x v="54"/>
    <n v="54"/>
    <x v="5"/>
  </r>
  <r>
    <x v="55"/>
    <x v="55"/>
    <x v="54"/>
    <n v="0"/>
    <n v="76986337"/>
    <n v="4555095"/>
    <x v="52"/>
    <n v="65750000"/>
    <x v="55"/>
    <n v="55"/>
    <x v="4"/>
  </r>
  <r>
    <x v="56"/>
    <x v="56"/>
    <x v="55"/>
    <n v="0.01"/>
    <n v="76913570"/>
    <n v="12405461"/>
    <x v="53"/>
    <n v="88880000000"/>
    <x v="56"/>
    <n v="56"/>
    <x v="5"/>
  </r>
  <r>
    <x v="57"/>
    <x v="57"/>
    <x v="56"/>
    <n v="1E-4"/>
    <n v="76834825"/>
    <n v="447796"/>
    <x v="54"/>
    <n v="280130000000000"/>
    <x v="57"/>
    <n v="57"/>
    <x v="5"/>
  </r>
  <r>
    <x v="58"/>
    <x v="58"/>
    <x v="57"/>
    <n v="1.18E-2"/>
    <n v="76645429"/>
    <n v="2729606"/>
    <x v="55"/>
    <n v="816170000"/>
    <x v="58"/>
    <n v="58"/>
    <x v="5"/>
  </r>
  <r>
    <x v="59"/>
    <x v="59"/>
    <x v="58"/>
    <n v="2.9999999999999997E-4"/>
    <n v="76634277"/>
    <n v="4586042"/>
    <x v="56"/>
    <n v="9780000000"/>
    <x v="59"/>
    <n v="59"/>
    <x v="5"/>
  </r>
  <r>
    <x v="60"/>
    <x v="60"/>
    <x v="59"/>
    <n v="6.1000000000000004E-3"/>
    <n v="52914915"/>
    <n v="5555762"/>
    <x v="57"/>
    <n v="1910000000"/>
    <x v="60"/>
    <n v="60"/>
    <x v="5"/>
  </r>
  <r>
    <x v="61"/>
    <x v="61"/>
    <x v="60"/>
    <n v="9.4999999999999998E-3"/>
    <n v="52882038"/>
    <n v="9820133"/>
    <x v="58"/>
    <n v="312510000"/>
    <x v="61"/>
    <n v="61"/>
    <x v="5"/>
  </r>
  <r>
    <x v="62"/>
    <x v="62"/>
    <x v="61"/>
    <n v="6.4999999999999997E-3"/>
    <n v="52657130"/>
    <n v="4008415"/>
    <x v="59"/>
    <n v="14790000000"/>
    <x v="62"/>
    <n v="63"/>
    <x v="5"/>
  </r>
  <r>
    <x v="63"/>
    <x v="63"/>
    <x v="62"/>
    <n v="0.1008"/>
    <n v="52836877"/>
    <n v="166881260"/>
    <x v="60"/>
    <n v="205000000"/>
    <x v="63"/>
    <n v="62"/>
    <x v="5"/>
  </r>
  <r>
    <x v="64"/>
    <x v="64"/>
    <x v="63"/>
    <n v="1E-4"/>
    <n v="52548578"/>
    <n v="16913"/>
    <x v="61"/>
    <n v="124080000"/>
    <x v="64"/>
    <n v="64"/>
    <x v="5"/>
  </r>
  <r>
    <x v="65"/>
    <x v="65"/>
    <x v="64"/>
    <n v="9.5999999999999992E-3"/>
    <n v="52537357"/>
    <n v="12248565"/>
    <x v="62"/>
    <n v="1890000000"/>
    <x v="65"/>
    <n v="65"/>
    <x v="5"/>
  </r>
  <r>
    <x v="66"/>
    <x v="66"/>
    <x v="65"/>
    <n v="7.7999999999999996E-3"/>
    <n v="52368644"/>
    <n v="9477300"/>
    <x v="63"/>
    <n v="2730000"/>
    <x v="66"/>
    <n v="66"/>
    <x v="6"/>
  </r>
  <r>
    <x v="67"/>
    <x v="67"/>
    <x v="66"/>
    <n v="1E-4"/>
    <n v="52353793"/>
    <n v="120938"/>
    <x v="64"/>
    <n v="12010"/>
    <x v="67"/>
    <n v="67"/>
    <x v="2"/>
  </r>
  <r>
    <x v="68"/>
    <x v="68"/>
    <x v="67"/>
    <n v="5.4899999999999997E-2"/>
    <n v="52309004"/>
    <n v="28154057"/>
    <x v="65"/>
    <n v="7800000000"/>
    <x v="68"/>
    <n v="68"/>
    <x v="5"/>
  </r>
  <r>
    <x v="69"/>
    <x v="69"/>
    <x v="68"/>
    <n v="1.23E-2"/>
    <n v="52300293"/>
    <n v="6761082"/>
    <x v="66"/>
    <n v="927620000"/>
    <x v="69"/>
    <n v="69"/>
    <x v="5"/>
  </r>
  <r>
    <x v="70"/>
    <x v="70"/>
    <x v="18"/>
    <n v="2.9999999999999997E-4"/>
    <n v="52238423"/>
    <n v="6093856"/>
    <x v="67"/>
    <n v="1410000000000"/>
    <x v="70"/>
    <n v="70"/>
    <x v="5"/>
  </r>
  <r>
    <x v="71"/>
    <x v="71"/>
    <x v="58"/>
    <n v="1.1000000000000001E-3"/>
    <n v="52087682"/>
    <n v="621225"/>
    <x v="68"/>
    <n v="6720000000"/>
    <x v="71"/>
    <n v="71"/>
    <x v="5"/>
  </r>
  <r>
    <x v="72"/>
    <x v="72"/>
    <x v="69"/>
    <n v="1.77E-2"/>
    <n v="51914331"/>
    <n v="56942962"/>
    <x v="69"/>
    <n v="3130000000"/>
    <x v="72"/>
    <n v="72"/>
    <x v="5"/>
  </r>
  <r>
    <x v="73"/>
    <x v="73"/>
    <x v="70"/>
    <n v="7.7999999999999996E-3"/>
    <n v="51784517"/>
    <n v="11686775"/>
    <x v="70"/>
    <n v="728920000"/>
    <x v="73"/>
    <n v="73"/>
    <x v="5"/>
  </r>
  <r>
    <x v="74"/>
    <x v="74"/>
    <x v="71"/>
    <n v="1.2699999999999999E-2"/>
    <n v="51688897"/>
    <n v="4447052"/>
    <x v="71"/>
    <n v="1650000000"/>
    <x v="74"/>
    <n v="74"/>
    <x v="5"/>
  </r>
  <r>
    <x v="75"/>
    <x v="75"/>
    <x v="72"/>
    <n v="1.14E-2"/>
    <n v="37963403"/>
    <n v="8807387"/>
    <x v="72"/>
    <n v="215500000"/>
    <x v="75"/>
    <n v="75"/>
    <x v="5"/>
  </r>
  <r>
    <x v="76"/>
    <x v="76"/>
    <x v="73"/>
    <n v="5.9999999999999995E-4"/>
    <n v="37951269"/>
    <n v="217133"/>
    <x v="73"/>
    <n v="737520000"/>
    <x v="76"/>
    <n v="76"/>
    <x v="5"/>
  </r>
  <r>
    <x v="77"/>
    <x v="77"/>
    <x v="74"/>
    <n v="4.0000000000000001E-3"/>
    <n v="37719971"/>
    <n v="4889683"/>
    <x v="74"/>
    <n v="1920000000"/>
    <x v="77"/>
    <n v="77"/>
    <x v="5"/>
  </r>
  <r>
    <x v="78"/>
    <x v="78"/>
    <x v="75"/>
    <n v="1E-3"/>
    <n v="37475389"/>
    <n v="8331707"/>
    <x v="75"/>
    <n v="2870000000"/>
    <x v="78"/>
    <n v="78"/>
    <x v="5"/>
  </r>
  <r>
    <x v="79"/>
    <x v="79"/>
    <x v="76"/>
    <n v="2.7900000000000001E-2"/>
    <n v="37344308"/>
    <n v="133808206"/>
    <x v="76"/>
    <n v="948240000"/>
    <x v="79"/>
    <n v="79"/>
    <x v="5"/>
  </r>
  <r>
    <x v="80"/>
    <x v="80"/>
    <x v="77"/>
    <n v="3.8999999999999998E-3"/>
    <n v="37321954"/>
    <n v="3794553"/>
    <x v="77"/>
    <n v="999790000"/>
    <x v="80"/>
    <n v="80"/>
    <x v="5"/>
  </r>
  <r>
    <x v="81"/>
    <x v="81"/>
    <x v="78"/>
    <n v="4.1000000000000003E-3"/>
    <n v="37236360"/>
    <n v="2801939"/>
    <x v="78"/>
    <n v="91490000"/>
    <x v="81"/>
    <n v="81"/>
    <x v="5"/>
  </r>
  <r>
    <x v="82"/>
    <x v="82"/>
    <x v="67"/>
    <n v="1.0800000000000001E-2"/>
    <n v="37191884"/>
    <n v="9660516"/>
    <x v="79"/>
    <n v="5580000000"/>
    <x v="82"/>
    <n v="84"/>
    <x v="5"/>
  </r>
  <r>
    <x v="83"/>
    <x v="83"/>
    <x v="79"/>
    <n v="1.32E-2"/>
    <n v="37194866"/>
    <n v="335290359"/>
    <x v="80"/>
    <n v="216220000"/>
    <x v="83"/>
    <n v="82"/>
    <x v="5"/>
  </r>
  <r>
    <x v="84"/>
    <x v="84"/>
    <x v="80"/>
    <n v="4.4000000000000003E-3"/>
    <n v="37194605"/>
    <n v="2504670"/>
    <x v="81"/>
    <n v="12890000"/>
    <x v="84"/>
    <n v="83"/>
    <x v="7"/>
  </r>
  <r>
    <x v="85"/>
    <x v="85"/>
    <x v="81"/>
    <n v="8.0999999999999996E-3"/>
    <n v="37123485"/>
    <n v="4761259"/>
    <x v="82"/>
    <n v="6810000"/>
    <x v="85"/>
    <n v="85"/>
    <x v="7"/>
  </r>
  <r>
    <x v="86"/>
    <x v="86"/>
    <x v="82"/>
    <n v="2E-3"/>
    <n v="37052831"/>
    <n v="7172434"/>
    <x v="83"/>
    <n v="525000000"/>
    <x v="86"/>
    <n v="86"/>
    <x v="5"/>
  </r>
  <r>
    <x v="87"/>
    <x v="87"/>
    <x v="83"/>
    <n v="1E-3"/>
    <n v="36968498"/>
    <n v="4049212"/>
    <x v="84"/>
    <n v="2620000000"/>
    <x v="87"/>
    <n v="87"/>
    <x v="5"/>
  </r>
  <r>
    <x v="88"/>
    <x v="88"/>
    <x v="84"/>
    <n v="5.7000000000000002E-3"/>
    <n v="36948795"/>
    <n v="4091513"/>
    <x v="85"/>
    <n v="95510000"/>
    <x v="88"/>
    <n v="88"/>
    <x v="5"/>
  </r>
  <r>
    <x v="89"/>
    <x v="89"/>
    <x v="85"/>
    <n v="3.1899999999999998E-2"/>
    <n v="36712969"/>
    <n v="3987767"/>
    <x v="86"/>
    <n v="1000000000"/>
    <x v="89"/>
    <n v="89"/>
    <x v="5"/>
  </r>
  <r>
    <x v="90"/>
    <x v="90"/>
    <x v="86"/>
    <n v="0.1186"/>
    <n v="28119082"/>
    <n v="228924"/>
    <x v="87"/>
    <n v="1110000000"/>
    <x v="90"/>
    <n v="90"/>
    <x v="5"/>
  </r>
  <r>
    <x v="91"/>
    <x v="91"/>
    <x v="87"/>
    <n v="3.32E-2"/>
    <n v="28030314"/>
    <n v="44457598"/>
    <x v="88"/>
    <n v="341260000"/>
    <x v="91"/>
    <n v="91"/>
    <x v="5"/>
  </r>
  <r>
    <x v="92"/>
    <x v="92"/>
    <x v="88"/>
    <n v="5.0000000000000001E-4"/>
    <n v="27988460"/>
    <n v="11474920"/>
    <x v="89"/>
    <n v="364350000"/>
    <x v="92"/>
    <n v="92"/>
    <x v="5"/>
  </r>
  <r>
    <x v="93"/>
    <x v="93"/>
    <x v="89"/>
    <n v="1.6000000000000001E-3"/>
    <n v="27987125"/>
    <n v="246689"/>
    <x v="90"/>
    <n v="38740000"/>
    <x v="93"/>
    <n v="93"/>
    <x v="3"/>
  </r>
  <r>
    <x v="94"/>
    <x v="94"/>
    <x v="90"/>
    <n v="4.3E-3"/>
    <n v="27755771"/>
    <n v="747728"/>
    <x v="91"/>
    <n v="23030000"/>
    <x v="94"/>
    <n v="94"/>
    <x v="4"/>
  </r>
  <r>
    <x v="95"/>
    <x v="95"/>
    <x v="59"/>
    <n v="0"/>
    <n v="27523754"/>
    <n v="517282"/>
    <x v="92"/>
    <n v="998920000"/>
    <x v="95"/>
    <n v="95"/>
    <x v="5"/>
  </r>
  <r>
    <x v="96"/>
    <x v="96"/>
    <x v="6"/>
    <n v="0"/>
    <n v="27488408"/>
    <n v="795"/>
    <x v="93"/>
    <n v="27490000"/>
    <x v="96"/>
    <n v="96"/>
    <x v="3"/>
  </r>
  <r>
    <x v="97"/>
    <x v="97"/>
    <x v="64"/>
    <n v="1E-3"/>
    <n v="27429852"/>
    <n v="335896"/>
    <x v="94"/>
    <n v="990080000"/>
    <x v="97"/>
    <n v="97"/>
    <x v="5"/>
  </r>
  <r>
    <x v="98"/>
    <x v="98"/>
    <x v="91"/>
    <n v="1.4E-2"/>
    <n v="27369787"/>
    <n v="21891403"/>
    <x v="95"/>
    <n v="214020000"/>
    <x v="98"/>
    <n v="98"/>
    <x v="5"/>
  </r>
  <r>
    <x v="99"/>
    <x v="99"/>
    <x v="55"/>
    <n v="8.6999999999999994E-3"/>
    <n v="27319469"/>
    <n v="1830097"/>
    <x v="96"/>
    <n v="31370000000"/>
    <x v="99"/>
    <n v="99"/>
    <x v="5"/>
  </r>
  <r>
    <x v="100"/>
    <x v="100"/>
    <x v="92"/>
    <n v="5.1999999999999998E-3"/>
    <n v="27270904"/>
    <n v="875162"/>
    <x v="97"/>
    <n v="415600"/>
    <x v="100"/>
    <n v="100"/>
    <x v="6"/>
  </r>
  <r>
    <x v="101"/>
    <x v="101"/>
    <x v="93"/>
    <n v="2.1399999999999999E-2"/>
    <n v="27189900"/>
    <n v="13350372"/>
    <x v="98"/>
    <n v="997210000"/>
    <x v="101"/>
    <n v="101"/>
    <x v="5"/>
  </r>
  <r>
    <x v="102"/>
    <x v="102"/>
    <x v="94"/>
    <n v="4.0000000000000002E-4"/>
    <n v="27118205"/>
    <n v="1104839"/>
    <x v="99"/>
    <n v="10640000000"/>
    <x v="102"/>
    <n v="102"/>
    <x v="5"/>
  </r>
  <r>
    <x v="103"/>
    <x v="103"/>
    <x v="95"/>
    <n v="0"/>
    <n v="27036164"/>
    <n v="8276"/>
    <x v="100"/>
    <n v="91420"/>
    <x v="103"/>
    <n v="103"/>
    <x v="0"/>
  </r>
  <r>
    <x v="104"/>
    <x v="104"/>
    <x v="96"/>
    <n v="2.7000000000000001E-3"/>
    <n v="21288910"/>
    <n v="3537872"/>
    <x v="101"/>
    <n v="44930000"/>
    <x v="104"/>
    <n v="104"/>
    <x v="5"/>
  </r>
  <r>
    <x v="105"/>
    <x v="105"/>
    <x v="97"/>
    <n v="7.3000000000000001E-3"/>
    <n v="21183785"/>
    <n v="2383053"/>
    <x v="102"/>
    <n v="14340000"/>
    <x v="105"/>
    <n v="105"/>
    <x v="4"/>
  </r>
  <r>
    <x v="106"/>
    <x v="106"/>
    <x v="98"/>
    <n v="8.6E-3"/>
    <n v="21051661"/>
    <n v="1063941"/>
    <x v="103"/>
    <n v="599260000"/>
    <x v="106"/>
    <n v="106"/>
    <x v="5"/>
  </r>
  <r>
    <x v="107"/>
    <x v="107"/>
    <x v="99"/>
    <n v="1.6999999999999999E-3"/>
    <n v="21028312"/>
    <n v="2355636"/>
    <x v="104"/>
    <n v="255630000"/>
    <x v="107"/>
    <n v="107"/>
    <x v="5"/>
  </r>
  <r>
    <x v="108"/>
    <x v="108"/>
    <x v="100"/>
    <n v="1.1000000000000001E-3"/>
    <n v="20942083"/>
    <n v="1755539"/>
    <x v="105"/>
    <n v="131590000"/>
    <x v="108"/>
    <n v="108"/>
    <x v="5"/>
  </r>
  <r>
    <x v="109"/>
    <x v="109"/>
    <x v="101"/>
    <n v="4.5999999999999999E-3"/>
    <n v="20926607"/>
    <n v="1923605"/>
    <x v="106"/>
    <n v="792710000"/>
    <x v="109"/>
    <n v="109"/>
    <x v="5"/>
  </r>
  <r>
    <x v="110"/>
    <x v="110"/>
    <x v="102"/>
    <n v="4.0000000000000002E-4"/>
    <n v="20833689"/>
    <n v="301856"/>
    <x v="107"/>
    <n v="33610"/>
    <x v="110"/>
    <n v="110"/>
    <x v="0"/>
  </r>
  <r>
    <x v="111"/>
    <x v="111"/>
    <x v="56"/>
    <n v="2.0000000000000001E-4"/>
    <n v="20792425"/>
    <n v="6073198"/>
    <x v="108"/>
    <n v="331380000"/>
    <x v="111"/>
    <n v="111"/>
    <x v="5"/>
  </r>
  <r>
    <x v="112"/>
    <x v="112"/>
    <x v="103"/>
    <n v="2.9999999999999997E-4"/>
    <n v="20783563"/>
    <n v="4249210"/>
    <x v="109"/>
    <n v="245710000"/>
    <x v="112"/>
    <n v="112"/>
    <x v="5"/>
  </r>
  <r>
    <x v="113"/>
    <x v="113"/>
    <x v="104"/>
    <n v="5.0000000000000001E-4"/>
    <n v="20765268"/>
    <n v="12916"/>
    <x v="110"/>
    <n v="64629999.999999993"/>
    <x v="113"/>
    <n v="113"/>
    <x v="5"/>
  </r>
  <r>
    <x v="114"/>
    <x v="114"/>
    <x v="105"/>
    <n v="1.0500000000000001E-2"/>
    <n v="20742584"/>
    <n v="2668050"/>
    <x v="111"/>
    <n v="347180000"/>
    <x v="114"/>
    <n v="114"/>
    <x v="5"/>
  </r>
  <r>
    <x v="115"/>
    <x v="115"/>
    <x v="106"/>
    <n v="5.9999999999999995E-4"/>
    <n v="20691287"/>
    <n v="208497"/>
    <x v="112"/>
    <n v="229910000"/>
    <x v="115"/>
    <n v="115"/>
    <x v="5"/>
  </r>
  <r>
    <x v="116"/>
    <x v="116"/>
    <x v="107"/>
    <n v="1.04E-2"/>
    <n v="20664141"/>
    <n v="3496040"/>
    <x v="113"/>
    <n v="884420000"/>
    <x v="116"/>
    <n v="116"/>
    <x v="5"/>
  </r>
  <r>
    <x v="117"/>
    <x v="117"/>
    <x v="108"/>
    <n v="3.9699999999999999E-2"/>
    <n v="20653599"/>
    <n v="4005780"/>
    <x v="114"/>
    <n v="1840000000"/>
    <x v="117"/>
    <n v="117"/>
    <x v="5"/>
  </r>
  <r>
    <x v="118"/>
    <x v="118"/>
    <x v="109"/>
    <n v="2.5999999999999999E-3"/>
    <n v="20601570"/>
    <n v="145854360"/>
    <x v="115"/>
    <n v="164160000"/>
    <x v="118"/>
    <n v="118"/>
    <x v="5"/>
  </r>
  <r>
    <x v="119"/>
    <x v="119"/>
    <x v="110"/>
    <n v="1.1000000000000001E-3"/>
    <n v="16424993"/>
    <n v="1358758"/>
    <x v="116"/>
    <n v="2360000000"/>
    <x v="119"/>
    <n v="119"/>
    <x v="5"/>
  </r>
  <r>
    <x v="120"/>
    <x v="120"/>
    <x v="111"/>
    <n v="4.0000000000000002E-4"/>
    <n v="16385663"/>
    <n v="320378"/>
    <x v="117"/>
    <n v="189970"/>
    <x v="120"/>
    <n v="120"/>
    <x v="6"/>
  </r>
  <r>
    <x v="121"/>
    <x v="121"/>
    <x v="112"/>
    <n v="3.5000000000000001E-3"/>
    <n v="16331453"/>
    <n v="3739115"/>
    <x v="118"/>
    <n v="11560000000"/>
    <x v="121"/>
    <n v="121"/>
    <x v="5"/>
  </r>
  <r>
    <x v="122"/>
    <x v="122"/>
    <x v="113"/>
    <n v="8.0000000000000004E-4"/>
    <n v="16227020"/>
    <n v="1281"/>
    <x v="119"/>
    <n v="66980000.000000007"/>
    <x v="122"/>
    <n v="122"/>
    <x v="5"/>
  </r>
  <r>
    <x v="123"/>
    <x v="123"/>
    <x v="114"/>
    <n v="9.7999999999999997E-3"/>
    <n v="16215310"/>
    <n v="2062193"/>
    <x v="120"/>
    <n v="555540000"/>
    <x v="123"/>
    <n v="123"/>
    <x v="5"/>
  </r>
  <r>
    <x v="124"/>
    <x v="124"/>
    <x v="115"/>
    <n v="1.0500000000000001E-2"/>
    <n v="16198555"/>
    <n v="1758366"/>
    <x v="121"/>
    <n v="2150000000"/>
    <x v="124"/>
    <n v="124"/>
    <x v="5"/>
  </r>
  <r>
    <x v="125"/>
    <x v="125"/>
    <x v="116"/>
    <n v="5.3E-3"/>
    <n v="16192876"/>
    <n v="12492258"/>
    <x v="122"/>
    <n v="156120000"/>
    <x v="125"/>
    <n v="125"/>
    <x v="5"/>
  </r>
  <r>
    <x v="126"/>
    <x v="126"/>
    <x v="117"/>
    <n v="7.9000000000000008E-3"/>
    <n v="16064356"/>
    <n v="3422837"/>
    <x v="123"/>
    <n v="416830000"/>
    <x v="126"/>
    <n v="126"/>
    <x v="5"/>
  </r>
  <r>
    <x v="127"/>
    <x v="127"/>
    <x v="118"/>
    <n v="9.5899999999999999E-2"/>
    <n v="15954600"/>
    <n v="70480379"/>
    <x v="124"/>
    <n v="8010000"/>
    <x v="127"/>
    <n v="127"/>
    <x v="4"/>
  </r>
  <r>
    <x v="128"/>
    <x v="128"/>
    <x v="119"/>
    <n v="6.8999999999999999E-3"/>
    <n v="15950372"/>
    <n v="59278"/>
    <x v="125"/>
    <n v="869700000"/>
    <x v="128"/>
    <n v="128"/>
    <x v="5"/>
  </r>
  <r>
    <x v="129"/>
    <x v="129"/>
    <x v="86"/>
    <n v="7.9000000000000008E-3"/>
    <n v="15923641"/>
    <n v="1014645"/>
    <x v="126"/>
    <n v="630890000"/>
    <x v="129"/>
    <n v="129"/>
    <x v="5"/>
  </r>
  <r>
    <x v="130"/>
    <x v="130"/>
    <x v="120"/>
    <n v="4.4000000000000003E-3"/>
    <n v="15920691"/>
    <n v="2920453"/>
    <x v="127"/>
    <n v="77590000"/>
    <x v="130"/>
    <n v="130"/>
    <x v="5"/>
  </r>
  <r>
    <x v="131"/>
    <x v="131"/>
    <x v="67"/>
    <n v="4.4000000000000003E-3"/>
    <n v="15826267"/>
    <n v="1644731"/>
    <x v="128"/>
    <n v="2340000000"/>
    <x v="131"/>
    <n v="131"/>
    <x v="5"/>
  </r>
  <r>
    <x v="132"/>
    <x v="132"/>
    <x v="121"/>
    <n v="1.1999999999999999E-3"/>
    <n v="15812322"/>
    <n v="306847"/>
    <x v="129"/>
    <n v="107050000"/>
    <x v="132"/>
    <n v="132"/>
    <x v="5"/>
  </r>
  <r>
    <x v="133"/>
    <x v="133"/>
    <x v="18"/>
    <n v="2.3E-3"/>
    <n v="15724357"/>
    <n v="1795661"/>
    <x v="130"/>
    <n v="580810000000"/>
    <x v="133"/>
    <n v="133"/>
    <x v="5"/>
  </r>
  <r>
    <x v="134"/>
    <x v="134"/>
    <x v="122"/>
    <n v="2.0999999999999999E-3"/>
    <n v="13134119"/>
    <n v="1516517"/>
    <x v="131"/>
    <n v="69420000000000"/>
    <x v="134"/>
    <n v="134"/>
    <x v="5"/>
  </r>
  <r>
    <x v="135"/>
    <x v="135"/>
    <x v="123"/>
    <n v="6.7000000000000002E-3"/>
    <n v="13123357"/>
    <n v="145988"/>
    <x v="132"/>
    <n v="100000000"/>
    <x v="135"/>
    <n v="135"/>
    <x v="5"/>
  </r>
  <r>
    <x v="136"/>
    <x v="136"/>
    <x v="46"/>
    <n v="5.0000000000000001E-4"/>
    <n v="13070849"/>
    <n v="209476"/>
    <x v="133"/>
    <n v="187760000"/>
    <x v="136"/>
    <n v="136"/>
    <x v="5"/>
  </r>
  <r>
    <x v="137"/>
    <x v="137"/>
    <x v="124"/>
    <n v="2.0000000000000001E-4"/>
    <n v="13047966"/>
    <n v="398978"/>
    <x v="134"/>
    <n v="6000000000"/>
    <x v="137"/>
    <n v="137"/>
    <x v="5"/>
  </r>
  <r>
    <x v="138"/>
    <x v="138"/>
    <x v="125"/>
    <n v="1E-4"/>
    <n v="12991779"/>
    <n v="168599"/>
    <x v="135"/>
    <n v="16780000"/>
    <x v="138"/>
    <n v="138"/>
    <x v="3"/>
  </r>
  <r>
    <x v="139"/>
    <x v="139"/>
    <x v="126"/>
    <n v="2.0000000000000001E-4"/>
    <n v="12990382"/>
    <n v="10235"/>
    <x v="136"/>
    <n v="44700000"/>
    <x v="139"/>
    <n v="139"/>
    <x v="5"/>
  </r>
  <r>
    <x v="140"/>
    <x v="140"/>
    <x v="127"/>
    <n v="1.7600000000000001E-2"/>
    <n v="12956897"/>
    <n v="12775882"/>
    <x v="137"/>
    <n v="161680000"/>
    <x v="140"/>
    <n v="140"/>
    <x v="5"/>
  </r>
  <r>
    <x v="141"/>
    <x v="141"/>
    <x v="128"/>
    <n v="6.9999999999999999E-4"/>
    <n v="12915133"/>
    <n v="14942"/>
    <x v="138"/>
    <n v="1120000000"/>
    <x v="141"/>
    <n v="141"/>
    <x v="5"/>
  </r>
  <r>
    <x v="142"/>
    <x v="142"/>
    <x v="129"/>
    <n v="5.1999999999999998E-3"/>
    <n v="12833597"/>
    <n v="72"/>
    <x v="139"/>
    <n v="2089999999.9999998"/>
    <x v="142"/>
    <n v="142"/>
    <x v="5"/>
  </r>
  <r>
    <x v="143"/>
    <x v="143"/>
    <x v="130"/>
    <n v="7.7999999999999996E-3"/>
    <n v="12792501"/>
    <n v="3233342"/>
    <x v="140"/>
    <n v="6240000000"/>
    <x v="143"/>
    <n v="143"/>
    <x v="5"/>
  </r>
  <r>
    <x v="144"/>
    <x v="144"/>
    <x v="131"/>
    <n v="2.9999999999999997E-4"/>
    <n v="12758781"/>
    <n v="294571"/>
    <x v="141"/>
    <n v="41500"/>
    <x v="144"/>
    <n v="144"/>
    <x v="0"/>
  </r>
  <r>
    <x v="145"/>
    <x v="145"/>
    <x v="132"/>
    <n v="1.7899999999999999E-2"/>
    <n v="12748368"/>
    <n v="2579371"/>
    <x v="142"/>
    <n v="256769999.99999997"/>
    <x v="145"/>
    <n v="145"/>
    <x v="5"/>
  </r>
  <r>
    <x v="146"/>
    <x v="146"/>
    <x v="133"/>
    <n v="5.0000000000000001E-4"/>
    <n v="12520555"/>
    <n v="11382"/>
    <x v="143"/>
    <n v="29860000"/>
    <x v="146"/>
    <n v="146"/>
    <x v="5"/>
  </r>
  <r>
    <x v="147"/>
    <x v="147"/>
    <x v="134"/>
    <n v="6.8000000000000005E-2"/>
    <n v="10263393"/>
    <n v="3725662"/>
    <x v="144"/>
    <n v="999920000"/>
    <x v="147"/>
    <n v="147"/>
    <x v="5"/>
  </r>
  <r>
    <x v="148"/>
    <x v="148"/>
    <x v="135"/>
    <n v="1E-3"/>
    <n v="10218253"/>
    <n v="24050"/>
    <x v="145"/>
    <n v="84370000"/>
    <x v="148"/>
    <n v="148"/>
    <x v="5"/>
  </r>
  <r>
    <x v="149"/>
    <x v="149"/>
    <x v="136"/>
    <n v="7.0000000000000001E-3"/>
    <n v="10209935"/>
    <n v="58863"/>
    <x v="146"/>
    <n v="3880000"/>
    <x v="149"/>
    <n v="149"/>
    <x v="7"/>
  </r>
  <r>
    <x v="150"/>
    <x v="150"/>
    <x v="137"/>
    <n v="6.9999999999999999E-4"/>
    <n v="10181572"/>
    <n v="2890350"/>
    <x v="147"/>
    <n v="370450000"/>
    <x v="150"/>
    <n v="150"/>
    <x v="5"/>
  </r>
  <r>
    <x v="151"/>
    <x v="151"/>
    <x v="138"/>
    <n v="4.3E-3"/>
    <n v="10177709"/>
    <n v="1745887"/>
    <x v="148"/>
    <n v="84980000"/>
    <x v="151"/>
    <n v="151"/>
    <x v="5"/>
  </r>
  <r>
    <x v="152"/>
    <x v="152"/>
    <x v="139"/>
    <n v="1.1000000000000001E-3"/>
    <n v="10176763"/>
    <n v="1968426"/>
    <x v="149"/>
    <n v="283420000"/>
    <x v="152"/>
    <n v="152"/>
    <x v="5"/>
  </r>
  <r>
    <x v="153"/>
    <x v="153"/>
    <x v="112"/>
    <n v="1.6999999999999999E-3"/>
    <n v="10154660"/>
    <n v="1493484"/>
    <x v="150"/>
    <n v="7190000000"/>
    <x v="153"/>
    <n v="153"/>
    <x v="5"/>
  </r>
  <r>
    <x v="154"/>
    <x v="154"/>
    <x v="140"/>
    <n v="1.18E-2"/>
    <n v="10144538"/>
    <n v="5375471"/>
    <x v="151"/>
    <n v="80000000"/>
    <x v="154"/>
    <n v="154"/>
    <x v="5"/>
  </r>
  <r>
    <x v="155"/>
    <x v="155"/>
    <x v="141"/>
    <n v="5.0000000000000001E-3"/>
    <n v="10134613"/>
    <n v="3304619"/>
    <x v="152"/>
    <n v="999200000"/>
    <x v="155"/>
    <n v="155"/>
    <x v="5"/>
  </r>
  <r>
    <x v="156"/>
    <x v="156"/>
    <x v="142"/>
    <n v="1.4E-3"/>
    <n v="10134565"/>
    <n v="1806828"/>
    <x v="153"/>
    <n v="445870000"/>
    <x v="156"/>
    <n v="156"/>
    <x v="5"/>
  </r>
  <r>
    <x v="157"/>
    <x v="157"/>
    <x v="143"/>
    <n v="8.8000000000000005E-3"/>
    <n v="10130034"/>
    <n v="541292"/>
    <x v="154"/>
    <n v="850960000"/>
    <x v="157"/>
    <n v="157"/>
    <x v="5"/>
  </r>
  <r>
    <x v="158"/>
    <x v="158"/>
    <x v="144"/>
    <n v="6.9999999999999999E-4"/>
    <n v="10120696"/>
    <n v="7551"/>
    <x v="155"/>
    <n v="90790000"/>
    <x v="158"/>
    <n v="158"/>
    <x v="5"/>
  </r>
  <r>
    <x v="159"/>
    <x v="159"/>
    <x v="145"/>
    <n v="3.8999999999999998E-3"/>
    <n v="10087488"/>
    <n v="95760"/>
    <x v="156"/>
    <n v="2310"/>
    <x v="159"/>
    <n v="160"/>
    <x v="2"/>
  </r>
  <r>
    <x v="160"/>
    <x v="160"/>
    <x v="146"/>
    <n v="1.8E-3"/>
    <n v="10100897"/>
    <n v="398895"/>
    <x v="157"/>
    <n v="10000000000"/>
    <x v="160"/>
    <n v="159"/>
    <x v="5"/>
  </r>
  <r>
    <x v="161"/>
    <x v="161"/>
    <x v="50"/>
    <n v="2.0999999999999999E-3"/>
    <n v="8122293"/>
    <n v="2571910"/>
    <x v="158"/>
    <n v="7150000000"/>
    <x v="161"/>
    <n v="161"/>
    <x v="5"/>
  </r>
  <r>
    <x v="162"/>
    <x v="162"/>
    <x v="147"/>
    <n v="4.0000000000000002E-4"/>
    <n v="8105168"/>
    <n v="197847"/>
    <x v="159"/>
    <n v="39900000"/>
    <x v="162"/>
    <n v="162"/>
    <x v="5"/>
  </r>
  <r>
    <x v="163"/>
    <x v="163"/>
    <x v="148"/>
    <n v="0"/>
    <n v="8086725"/>
    <n v="2041502"/>
    <x v="160"/>
    <n v="1600000"/>
    <x v="163"/>
    <n v="163"/>
    <x v="7"/>
  </r>
  <r>
    <x v="164"/>
    <x v="164"/>
    <x v="149"/>
    <n v="1E-4"/>
    <n v="8086075"/>
    <n v="81528"/>
    <x v="161"/>
    <n v="581880"/>
    <x v="164"/>
    <n v="164"/>
    <x v="6"/>
  </r>
  <r>
    <x v="165"/>
    <x v="165"/>
    <x v="150"/>
    <n v="3.3E-3"/>
    <n v="8072787"/>
    <n v="1922221"/>
    <x v="162"/>
    <n v="331980000"/>
    <x v="165"/>
    <n v="165"/>
    <x v="5"/>
  </r>
  <r>
    <x v="166"/>
    <x v="166"/>
    <x v="151"/>
    <n v="1E-3"/>
    <n v="8024621"/>
    <n v="222727"/>
    <x v="163"/>
    <n v="80610000"/>
    <x v="166"/>
    <n v="166"/>
    <x v="5"/>
  </r>
  <r>
    <x v="167"/>
    <x v="167"/>
    <x v="152"/>
    <n v="1.9E-3"/>
    <n v="7986894"/>
    <n v="1293"/>
    <x v="164"/>
    <n v="706330"/>
    <x v="167"/>
    <n v="167"/>
    <x v="6"/>
  </r>
  <r>
    <x v="168"/>
    <x v="168"/>
    <x v="83"/>
    <n v="5.0000000000000001E-4"/>
    <n v="7979231"/>
    <n v="2089834"/>
    <x v="165"/>
    <n v="566340000"/>
    <x v="168"/>
    <n v="168"/>
    <x v="5"/>
  </r>
  <r>
    <x v="169"/>
    <x v="169"/>
    <x v="153"/>
    <n v="2.0000000000000001E-4"/>
    <n v="7973287"/>
    <n v="3377869"/>
    <x v="166"/>
    <n v="7980000"/>
    <x v="169"/>
    <n v="169"/>
    <x v="3"/>
  </r>
  <r>
    <x v="170"/>
    <x v="170"/>
    <x v="154"/>
    <n v="4.7600000000000003E-2"/>
    <n v="7967451"/>
    <n v="1560930"/>
    <x v="167"/>
    <n v="599620000"/>
    <x v="170"/>
    <n v="170"/>
    <x v="5"/>
  </r>
  <r>
    <x v="171"/>
    <x v="171"/>
    <x v="155"/>
    <n v="1.1000000000000001E-3"/>
    <n v="7953928"/>
    <n v="7410"/>
    <x v="168"/>
    <n v="868560000"/>
    <x v="171"/>
    <n v="171"/>
    <x v="5"/>
  </r>
  <r>
    <x v="172"/>
    <x v="172"/>
    <x v="156"/>
    <n v="6.9999999999999999E-4"/>
    <n v="7940136"/>
    <n v="3179"/>
    <x v="169"/>
    <n v="33820000"/>
    <x v="172"/>
    <n v="172"/>
    <x v="5"/>
  </r>
  <r>
    <x v="173"/>
    <x v="173"/>
    <x v="157"/>
    <n v="0.04"/>
    <n v="7939043"/>
    <n v="4301672"/>
    <x v="170"/>
    <n v="970980000"/>
    <x v="173"/>
    <n v="173"/>
    <x v="5"/>
  </r>
  <r>
    <x v="174"/>
    <x v="174"/>
    <x v="158"/>
    <n v="3.5000000000000001E-3"/>
    <n v="7914890"/>
    <n v="77409"/>
    <x v="171"/>
    <n v="935810000"/>
    <x v="174"/>
    <n v="174"/>
    <x v="5"/>
  </r>
  <r>
    <x v="175"/>
    <x v="175"/>
    <x v="55"/>
    <n v="2.7000000000000001E-3"/>
    <n v="6272861"/>
    <n v="273867"/>
    <x v="172"/>
    <n v="7370000000"/>
    <x v="175"/>
    <n v="176"/>
    <x v="5"/>
  </r>
  <r>
    <x v="176"/>
    <x v="176"/>
    <x v="159"/>
    <n v="4.0000000000000002E-4"/>
    <n v="6265404"/>
    <n v="2426"/>
    <x v="173"/>
    <n v="792550000"/>
    <x v="176"/>
    <n v="177"/>
    <x v="5"/>
  </r>
  <r>
    <x v="177"/>
    <x v="177"/>
    <x v="160"/>
    <n v="6.1000000000000004E-3"/>
    <n v="6254137"/>
    <n v="212197"/>
    <x v="174"/>
    <n v="420000000000000"/>
    <x v="177"/>
    <n v="178"/>
    <x v="5"/>
  </r>
  <r>
    <x v="178"/>
    <x v="178"/>
    <x v="161"/>
    <n v="9.4999999999999998E-3"/>
    <n v="6251681"/>
    <n v="1825074"/>
    <x v="175"/>
    <n v="148160000"/>
    <x v="178"/>
    <n v="179"/>
    <x v="5"/>
  </r>
  <r>
    <x v="179"/>
    <x v="179"/>
    <x v="162"/>
    <n v="1.6999999999999999E-3"/>
    <n v="6230699"/>
    <n v="1228669"/>
    <x v="176"/>
    <n v="140280000"/>
    <x v="179"/>
    <n v="180"/>
    <x v="5"/>
  </r>
  <r>
    <x v="180"/>
    <x v="180"/>
    <x v="163"/>
    <n v="2.5000000000000001E-3"/>
    <n v="6216056"/>
    <n v="3022"/>
    <x v="177"/>
    <n v="54370000"/>
    <x v="180"/>
    <n v="181"/>
    <x v="5"/>
  </r>
  <r>
    <x v="181"/>
    <x v="181"/>
    <x v="164"/>
    <n v="1E-4"/>
    <n v="6207938"/>
    <n v="40938"/>
    <x v="178"/>
    <n v="9680000000"/>
    <x v="181"/>
    <n v="182"/>
    <x v="5"/>
  </r>
  <r>
    <x v="182"/>
    <x v="182"/>
    <x v="165"/>
    <n v="2.5999999999999999E-3"/>
    <n v="6205613"/>
    <n v="247193"/>
    <x v="179"/>
    <n v="944700000"/>
    <x v="182"/>
    <n v="183"/>
    <x v="5"/>
  </r>
  <r>
    <x v="183"/>
    <x v="183"/>
    <x v="166"/>
    <n v="6.4000000000000003E-3"/>
    <n v="6161025"/>
    <n v="524306"/>
    <x v="180"/>
    <n v="999970000"/>
    <x v="183"/>
    <n v="184"/>
    <x v="5"/>
  </r>
  <r>
    <x v="184"/>
    <x v="184"/>
    <x v="164"/>
    <n v="5.0000000000000001E-4"/>
    <n v="6129073"/>
    <n v="2807172"/>
    <x v="157"/>
    <n v="10000000000"/>
    <x v="184"/>
    <n v="185"/>
    <x v="5"/>
  </r>
  <r>
    <x v="185"/>
    <x v="185"/>
    <x v="167"/>
    <n v="6.8999999999999999E-3"/>
    <n v="6127767"/>
    <n v="91514"/>
    <x v="181"/>
    <n v="75120000"/>
    <x v="185"/>
    <n v="186"/>
    <x v="5"/>
  </r>
  <r>
    <x v="186"/>
    <x v="186"/>
    <x v="168"/>
    <n v="1E-4"/>
    <n v="6115705"/>
    <n v="102283"/>
    <x v="182"/>
    <n v="19310000"/>
    <x v="186"/>
    <n v="187"/>
    <x v="5"/>
  </r>
  <r>
    <x v="187"/>
    <x v="187"/>
    <x v="169"/>
    <n v="3.5999999999999999E-3"/>
    <n v="6114215"/>
    <n v="87536"/>
    <x v="183"/>
    <n v="3700000000"/>
    <x v="187"/>
    <n v="188"/>
    <x v="5"/>
  </r>
  <r>
    <x v="188"/>
    <x v="188"/>
    <x v="129"/>
    <n v="8.9999999999999998E-4"/>
    <n v="6103902"/>
    <n v="27657"/>
    <x v="86"/>
    <n v="1000000000"/>
    <x v="188"/>
    <n v="189"/>
    <x v="5"/>
  </r>
  <r>
    <x v="189"/>
    <x v="189"/>
    <x v="170"/>
    <n v="1E-4"/>
    <n v="4972149"/>
    <n v="12701"/>
    <x v="184"/>
    <n v="2770000000"/>
    <x v="189"/>
    <n v="190"/>
    <x v="5"/>
  </r>
  <r>
    <x v="190"/>
    <x v="190"/>
    <x v="171"/>
    <n v="2.3E-3"/>
    <n v="4956333"/>
    <n v="295321"/>
    <x v="185"/>
    <n v="961000000"/>
    <x v="190"/>
    <n v="191"/>
    <x v="5"/>
  </r>
  <r>
    <x v="191"/>
    <x v="191"/>
    <x v="172"/>
    <n v="7.9000000000000008E-3"/>
    <n v="4939957"/>
    <n v="126269"/>
    <x v="186"/>
    <n v="18320000000"/>
    <x v="191"/>
    <n v="192"/>
    <x v="5"/>
  </r>
  <r>
    <x v="192"/>
    <x v="192"/>
    <x v="141"/>
    <n v="2.9999999999999997E-4"/>
    <n v="4925795"/>
    <n v="361696"/>
    <x v="187"/>
    <n v="486200000"/>
    <x v="192"/>
    <n v="193"/>
    <x v="5"/>
  </r>
  <r>
    <x v="193"/>
    <x v="193"/>
    <x v="173"/>
    <n v="2.5000000000000001E-3"/>
    <n v="4925368"/>
    <n v="442896"/>
    <x v="188"/>
    <n v="93140000"/>
    <x v="193"/>
    <n v="194"/>
    <x v="5"/>
  </r>
  <r>
    <x v="194"/>
    <x v="194"/>
    <x v="174"/>
    <n v="4.0000000000000002E-4"/>
    <n v="4922842"/>
    <n v="278183"/>
    <x v="189"/>
    <n v="234520000"/>
    <x v="194"/>
    <n v="195"/>
    <x v="5"/>
  </r>
  <r>
    <x v="195"/>
    <x v="195"/>
    <x v="175"/>
    <n v="1E-4"/>
    <n v="4911058"/>
    <n v="487"/>
    <x v="190"/>
    <n v="20250000000"/>
    <x v="195"/>
    <n v="196"/>
    <x v="5"/>
  </r>
  <r>
    <x v="196"/>
    <x v="196"/>
    <x v="176"/>
    <n v="4.0000000000000001E-3"/>
    <n v="4892467"/>
    <n v="854807"/>
    <x v="86"/>
    <n v="1000000000"/>
    <x v="196"/>
    <n v="197"/>
    <x v="5"/>
  </r>
  <r>
    <x v="197"/>
    <x v="197"/>
    <x v="177"/>
    <n v="1.6400000000000001E-2"/>
    <n v="4877738"/>
    <n v="215789"/>
    <x v="191"/>
    <n v="12650000"/>
    <x v="197"/>
    <n v="198"/>
    <x v="5"/>
  </r>
  <r>
    <x v="198"/>
    <x v="198"/>
    <x v="178"/>
    <n v="1.1299999999999999E-2"/>
    <n v="4876749"/>
    <n v="375201"/>
    <x v="192"/>
    <n v="57270000000000"/>
    <x v="198"/>
    <n v="199"/>
    <x v="5"/>
  </r>
  <r>
    <x v="199"/>
    <x v="199"/>
    <x v="176"/>
    <n v="5.0000000000000001E-4"/>
    <n v="4872450"/>
    <n v="1280155"/>
    <x v="180"/>
    <n v="999970000"/>
    <x v="199"/>
    <n v="200"/>
    <x v="5"/>
  </r>
  <r>
    <x v="200"/>
    <x v="200"/>
    <x v="179"/>
    <n v="6.1999999999999998E-3"/>
    <n v="4852783"/>
    <n v="100481"/>
    <x v="193"/>
    <n v="15450000"/>
    <x v="200"/>
    <n v="201"/>
    <x v="5"/>
  </r>
  <r>
    <x v="201"/>
    <x v="201"/>
    <x v="180"/>
    <n v="1.11E-2"/>
    <n v="4850979"/>
    <n v="402549"/>
    <x v="194"/>
    <n v="496540"/>
    <x v="201"/>
    <n v="202"/>
    <x v="7"/>
  </r>
  <r>
    <x v="202"/>
    <x v="202"/>
    <x v="181"/>
    <n v="1.0200000000000001E-2"/>
    <n v="4842635"/>
    <n v="2328961"/>
    <x v="195"/>
    <n v="226870000"/>
    <x v="202"/>
    <n v="203"/>
    <x v="5"/>
  </r>
  <r>
    <x v="203"/>
    <x v="203"/>
    <x v="182"/>
    <n v="3.8E-3"/>
    <n v="4836273"/>
    <n v="121289"/>
    <x v="196"/>
    <n v="298250000"/>
    <x v="203"/>
    <n v="204"/>
    <x v="5"/>
  </r>
  <r>
    <x v="204"/>
    <x v="204"/>
    <x v="183"/>
    <n v="1E-4"/>
    <n v="4098858"/>
    <n v="51766"/>
    <x v="197"/>
    <n v="5090000000"/>
    <x v="204"/>
    <n v="205"/>
    <x v="5"/>
  </r>
  <r>
    <x v="205"/>
    <x v="205"/>
    <x v="184"/>
    <n v="1.24E-2"/>
    <n v="4092301"/>
    <n v="498045"/>
    <x v="198"/>
    <n v="8620000"/>
    <x v="205"/>
    <n v="206"/>
    <x v="5"/>
  </r>
  <r>
    <x v="206"/>
    <x v="206"/>
    <x v="185"/>
    <n v="4.0000000000000002E-4"/>
    <n v="4071360"/>
    <n v="58006"/>
    <x v="199"/>
    <n v="9990000"/>
    <x v="206"/>
    <n v="207"/>
    <x v="5"/>
  </r>
  <r>
    <x v="207"/>
    <x v="207"/>
    <x v="37"/>
    <n v="5.0000000000000001E-4"/>
    <n v="4059423"/>
    <n v="993206"/>
    <x v="200"/>
    <n v="4050000"/>
    <x v="207"/>
    <n v="208"/>
    <x v="3"/>
  </r>
  <r>
    <x v="208"/>
    <x v="208"/>
    <x v="158"/>
    <n v="1.04E-2"/>
    <n v="4056290"/>
    <n v="452151"/>
    <x v="201"/>
    <n v="479620000"/>
    <x v="208"/>
    <n v="209"/>
    <x v="5"/>
  </r>
  <r>
    <x v="209"/>
    <x v="209"/>
    <x v="186"/>
    <n v="1.7100000000000001E-2"/>
    <n v="4044070"/>
    <n v="86399"/>
    <x v="202"/>
    <n v="20030000"/>
    <x v="209"/>
    <n v="210"/>
    <x v="5"/>
  </r>
  <r>
    <x v="210"/>
    <x v="210"/>
    <x v="187"/>
    <n v="8.2000000000000007E-3"/>
    <n v="4032882"/>
    <n v="2124270"/>
    <x v="203"/>
    <n v="334170000"/>
    <x v="210"/>
    <n v="211"/>
    <x v="5"/>
  </r>
  <r>
    <x v="211"/>
    <x v="211"/>
    <x v="188"/>
    <n v="1E-4"/>
    <n v="4025739"/>
    <n v="299678"/>
    <x v="204"/>
    <n v="227990000000000"/>
    <x v="211"/>
    <n v="212"/>
    <x v="5"/>
  </r>
  <r>
    <x v="212"/>
    <x v="212"/>
    <x v="55"/>
    <n v="2.9999999999999997E-4"/>
    <n v="4013522"/>
    <n v="412636"/>
    <x v="205"/>
    <n v="4480000000"/>
    <x v="212"/>
    <n v="213"/>
    <x v="5"/>
  </r>
  <r>
    <x v="213"/>
    <x v="213"/>
    <x v="189"/>
    <n v="1E-4"/>
    <n v="4002278"/>
    <n v="1088864"/>
    <x v="206"/>
    <n v="878820000"/>
    <x v="213"/>
    <n v="214"/>
    <x v="5"/>
  </r>
  <r>
    <x v="214"/>
    <x v="214"/>
    <x v="183"/>
    <n v="1.1000000000000001E-3"/>
    <n v="4001721"/>
    <n v="8904"/>
    <x v="207"/>
    <n v="4770000000"/>
    <x v="214"/>
    <n v="215"/>
    <x v="5"/>
  </r>
  <r>
    <x v="215"/>
    <x v="215"/>
    <x v="190"/>
    <n v="1E-4"/>
    <n v="3991078"/>
    <n v="1801552"/>
    <x v="208"/>
    <n v="61270000"/>
    <x v="215"/>
    <n v="216"/>
    <x v="5"/>
  </r>
  <r>
    <x v="216"/>
    <x v="216"/>
    <x v="191"/>
    <n v="3.5999999999999999E-3"/>
    <n v="3988311"/>
    <n v="154139"/>
    <x v="209"/>
    <n v="11170000000000"/>
    <x v="216"/>
    <n v="217"/>
    <x v="5"/>
  </r>
  <r>
    <x v="217"/>
    <x v="217"/>
    <x v="192"/>
    <n v="4.0000000000000002E-4"/>
    <n v="3967175"/>
    <n v="65166"/>
    <x v="210"/>
    <n v="29100"/>
    <x v="217"/>
    <n v="218"/>
    <x v="0"/>
  </r>
  <r>
    <x v="218"/>
    <x v="218"/>
    <x v="193"/>
    <n v="9.9000000000000008E-3"/>
    <n v="3190030"/>
    <n v="129109"/>
    <x v="86"/>
    <n v="1000000000"/>
    <x v="218"/>
    <n v="219"/>
    <x v="5"/>
  </r>
  <r>
    <x v="219"/>
    <x v="219"/>
    <x v="50"/>
    <n v="1.8E-3"/>
    <n v="3187133"/>
    <n v="82112"/>
    <x v="211"/>
    <n v="2990000000"/>
    <x v="219"/>
    <n v="220"/>
    <x v="5"/>
  </r>
  <r>
    <x v="220"/>
    <x v="220"/>
    <x v="194"/>
    <n v="9.4000000000000004E-3"/>
    <n v="3186414"/>
    <n v="222576"/>
    <x v="212"/>
    <n v="499710000"/>
    <x v="220"/>
    <n v="221"/>
    <x v="5"/>
  </r>
  <r>
    <x v="221"/>
    <x v="9"/>
    <x v="195"/>
    <n v="5.9999999999999995E-4"/>
    <n v="3184110"/>
    <n v="1041133"/>
    <x v="213"/>
    <n v="979120000"/>
    <x v="221"/>
    <n v="222"/>
    <x v="5"/>
  </r>
  <r>
    <x v="222"/>
    <x v="221"/>
    <x v="196"/>
    <n v="6.3E-3"/>
    <n v="3170980"/>
    <n v="364959"/>
    <x v="214"/>
    <n v="80910000"/>
    <x v="222"/>
    <n v="223"/>
    <x v="5"/>
  </r>
  <r>
    <x v="223"/>
    <x v="222"/>
    <x v="94"/>
    <n v="6.4000000000000003E-3"/>
    <n v="3169190"/>
    <n v="333463"/>
    <x v="215"/>
    <n v="1260000000"/>
    <x v="223"/>
    <n v="224"/>
    <x v="5"/>
  </r>
  <r>
    <x v="224"/>
    <x v="223"/>
    <x v="197"/>
    <n v="7.0000000000000001E-3"/>
    <n v="3168439"/>
    <n v="189452"/>
    <x v="216"/>
    <n v="8500000000000"/>
    <x v="224"/>
    <n v="225"/>
    <x v="5"/>
  </r>
  <r>
    <x v="225"/>
    <x v="224"/>
    <x v="198"/>
    <n v="0.03"/>
    <n v="3161989"/>
    <n v="619781"/>
    <x v="217"/>
    <n v="28590000"/>
    <x v="225"/>
    <n v="226"/>
    <x v="5"/>
  </r>
  <r>
    <x v="226"/>
    <x v="225"/>
    <x v="199"/>
    <n v="1.1999999999999999E-3"/>
    <n v="3161988"/>
    <n v="70474"/>
    <x v="132"/>
    <n v="100000000"/>
    <x v="226"/>
    <n v="227"/>
    <x v="5"/>
  </r>
  <r>
    <x v="227"/>
    <x v="226"/>
    <x v="200"/>
    <n v="5.3E-3"/>
    <n v="3145553"/>
    <n v="3337405"/>
    <x v="218"/>
    <n v="200000000"/>
    <x v="227"/>
    <n v="228"/>
    <x v="5"/>
  </r>
  <r>
    <x v="228"/>
    <x v="227"/>
    <x v="201"/>
    <n v="1.8E-3"/>
    <n v="3144141"/>
    <n v="322501"/>
    <x v="219"/>
    <n v="6310000000"/>
    <x v="228"/>
    <n v="229"/>
    <x v="5"/>
  </r>
  <r>
    <x v="229"/>
    <x v="228"/>
    <x v="183"/>
    <n v="2.5100000000000001E-2"/>
    <n v="3136583"/>
    <n v="211641"/>
    <x v="220"/>
    <n v="3970000000"/>
    <x v="229"/>
    <n v="230"/>
    <x v="5"/>
  </r>
  <r>
    <x v="230"/>
    <x v="229"/>
    <x v="202"/>
    <n v="3.5999999999999999E-3"/>
    <n v="3128134"/>
    <n v="29337"/>
    <x v="221"/>
    <n v="993340000"/>
    <x v="230"/>
    <n v="231"/>
    <x v="5"/>
  </r>
  <r>
    <x v="231"/>
    <x v="230"/>
    <x v="203"/>
    <n v="2.2000000000000001E-3"/>
    <n v="3113946"/>
    <n v="63368"/>
    <x v="222"/>
    <n v="48790000"/>
    <x v="231"/>
    <n v="232"/>
    <x v="5"/>
  </r>
  <r>
    <x v="232"/>
    <x v="231"/>
    <x v="204"/>
    <n v="0"/>
    <n v="3112337"/>
    <n v="46064"/>
    <x v="223"/>
    <n v="818880000"/>
    <x v="232"/>
    <n v="233"/>
    <x v="5"/>
  </r>
  <r>
    <x v="233"/>
    <x v="232"/>
    <x v="205"/>
    <n v="3.0999999999999999E-3"/>
    <n v="2624600"/>
    <n v="272948"/>
    <x v="224"/>
    <n v="769060000"/>
    <x v="233"/>
    <n v="234"/>
    <x v="5"/>
  </r>
  <r>
    <x v="234"/>
    <x v="233"/>
    <x v="206"/>
    <n v="2.2000000000000001E-3"/>
    <n v="2618272"/>
    <n v="32169"/>
    <x v="225"/>
    <n v="17930"/>
    <x v="234"/>
    <n v="235"/>
    <x v="0"/>
  </r>
  <r>
    <x v="235"/>
    <x v="234"/>
    <x v="207"/>
    <n v="4.1999999999999997E-3"/>
    <n v="2616371"/>
    <n v="548295"/>
    <x v="226"/>
    <n v="9670000"/>
    <x v="235"/>
    <n v="236"/>
    <x v="5"/>
  </r>
  <r>
    <x v="236"/>
    <x v="235"/>
    <x v="208"/>
    <n v="1E-4"/>
    <n v="2599223"/>
    <n v="111"/>
    <x v="227"/>
    <n v="9280000"/>
    <x v="236"/>
    <n v="238"/>
    <x v="5"/>
  </r>
  <r>
    <x v="237"/>
    <x v="236"/>
    <x v="209"/>
    <n v="1.9E-3"/>
    <n v="2599402"/>
    <n v="292160"/>
    <x v="228"/>
    <n v="603770000"/>
    <x v="237"/>
    <n v="237"/>
    <x v="5"/>
  </r>
  <r>
    <x v="238"/>
    <x v="237"/>
    <x v="169"/>
    <n v="7.7000000000000002E-3"/>
    <n v="2598336"/>
    <n v="419073"/>
    <x v="229"/>
    <n v="1520000000"/>
    <x v="238"/>
    <n v="239"/>
    <x v="5"/>
  </r>
  <r>
    <x v="239"/>
    <x v="238"/>
    <x v="210"/>
    <n v="5.7000000000000002E-3"/>
    <n v="2593788"/>
    <n v="1931857"/>
    <x v="86"/>
    <n v="1000000000"/>
    <x v="239"/>
    <n v="240"/>
    <x v="5"/>
  </r>
  <r>
    <x v="240"/>
    <x v="239"/>
    <x v="211"/>
    <n v="1E-4"/>
    <n v="2593163"/>
    <n v="220815"/>
    <x v="230"/>
    <n v="5320"/>
    <x v="240"/>
    <n v="241"/>
    <x v="0"/>
  </r>
  <r>
    <x v="241"/>
    <x v="240"/>
    <x v="212"/>
    <n v="2.2000000000000001E-3"/>
    <n v="2591059"/>
    <n v="120482"/>
    <x v="231"/>
    <n v="650810000"/>
    <x v="241"/>
    <n v="242"/>
    <x v="5"/>
  </r>
  <r>
    <x v="242"/>
    <x v="241"/>
    <x v="210"/>
    <n v="7.3000000000000001E-3"/>
    <n v="2572928"/>
    <n v="223938"/>
    <x v="232"/>
    <n v="999990000"/>
    <x v="242"/>
    <n v="243"/>
    <x v="5"/>
  </r>
  <r>
    <x v="243"/>
    <x v="242"/>
    <x v="213"/>
    <n v="2.0000000000000001E-4"/>
    <n v="2571470"/>
    <n v="77851"/>
    <x v="233"/>
    <n v="6930000000"/>
    <x v="243"/>
    <n v="244"/>
    <x v="5"/>
  </r>
  <r>
    <x v="244"/>
    <x v="243"/>
    <x v="210"/>
    <n v="8.9999999999999998E-4"/>
    <n v="2569001"/>
    <n v="3446"/>
    <x v="86"/>
    <n v="1000000000"/>
    <x v="244"/>
    <n v="245"/>
    <x v="5"/>
  </r>
  <r>
    <x v="245"/>
    <x v="244"/>
    <x v="195"/>
    <n v="4.4000000000000003E-3"/>
    <n v="2567987"/>
    <n v="25953"/>
    <x v="234"/>
    <n v="787000000"/>
    <x v="245"/>
    <n v="246"/>
    <x v="5"/>
  </r>
  <r>
    <x v="246"/>
    <x v="245"/>
    <x v="214"/>
    <n v="7.9399999999999998E-2"/>
    <n v="2557395"/>
    <n v="1031311"/>
    <x v="235"/>
    <n v="234810000"/>
    <x v="246"/>
    <n v="247"/>
    <x v="5"/>
  </r>
  <r>
    <x v="247"/>
    <x v="246"/>
    <x v="215"/>
    <n v="1E-4"/>
    <n v="2067068"/>
    <n v="68"/>
    <x v="236"/>
    <n v="380100000"/>
    <x v="247"/>
    <n v="248"/>
    <x v="5"/>
  </r>
  <r>
    <x v="248"/>
    <x v="247"/>
    <x v="216"/>
    <n v="7.9000000000000008E-3"/>
    <n v="2061941"/>
    <n v="202808"/>
    <x v="237"/>
    <n v="970000000"/>
    <x v="248"/>
    <n v="249"/>
    <x v="5"/>
  </r>
  <r>
    <x v="249"/>
    <x v="248"/>
    <x v="18"/>
    <n v="2.1600000000000001E-2"/>
    <n v="2061716"/>
    <n v="1112131"/>
    <x v="238"/>
    <n v="96370000000"/>
    <x v="249"/>
    <n v="250"/>
    <x v="5"/>
  </r>
  <r>
    <x v="250"/>
    <x v="249"/>
    <x v="217"/>
    <n v="1E-4"/>
    <n v="2058697"/>
    <n v="47788"/>
    <x v="239"/>
    <n v="1850000"/>
    <x v="250"/>
    <n v="251"/>
    <x v="4"/>
  </r>
  <r>
    <x v="251"/>
    <x v="250"/>
    <x v="218"/>
    <n v="1E-4"/>
    <n v="2058129"/>
    <n v="213139"/>
    <x v="240"/>
    <n v="7620"/>
    <x v="251"/>
    <n v="252"/>
    <x v="0"/>
  </r>
  <r>
    <x v="252"/>
    <x v="251"/>
    <x v="219"/>
    <n v="1.37E-2"/>
    <n v="2052913"/>
    <n v="412964"/>
    <x v="241"/>
    <n v="7660000"/>
    <x v="252"/>
    <n v="253"/>
    <x v="5"/>
  </r>
  <r>
    <x v="253"/>
    <x v="252"/>
    <x v="216"/>
    <n v="2.41E-2"/>
    <n v="2051634"/>
    <n v="3927486"/>
    <x v="86"/>
    <n v="1000000000"/>
    <x v="253"/>
    <n v="254"/>
    <x v="5"/>
  </r>
  <r>
    <x v="254"/>
    <x v="253"/>
    <x v="201"/>
    <n v="9.4999999999999998E-3"/>
    <n v="2039455"/>
    <n v="1877811"/>
    <x v="242"/>
    <n v="4330000000"/>
    <x v="254"/>
    <n v="255"/>
    <x v="5"/>
  </r>
  <r>
    <x v="255"/>
    <x v="254"/>
    <x v="220"/>
    <n v="2.7000000000000001E-3"/>
    <n v="2037382"/>
    <n v="175018"/>
    <x v="243"/>
    <n v="11280000"/>
    <x v="255"/>
    <n v="256"/>
    <x v="5"/>
  </r>
  <r>
    <x v="256"/>
    <x v="255"/>
    <x v="18"/>
    <n v="1.4E-3"/>
    <n v="2029259"/>
    <n v="2841232"/>
    <x v="244"/>
    <n v="69000000000"/>
    <x v="256"/>
    <n v="259"/>
    <x v="5"/>
  </r>
  <r>
    <x v="257"/>
    <x v="256"/>
    <x v="221"/>
    <n v="1.3299999999999999E-2"/>
    <n v="2035580"/>
    <n v="117506"/>
    <x v="245"/>
    <n v="38590"/>
    <x v="257"/>
    <n v="257"/>
    <x v="6"/>
  </r>
  <r>
    <x v="258"/>
    <x v="257"/>
    <x v="222"/>
    <n v="2.5000000000000001E-3"/>
    <n v="2029473"/>
    <n v="73652"/>
    <x v="246"/>
    <n v="469000000000000"/>
    <x v="258"/>
    <n v="258"/>
    <x v="5"/>
  </r>
  <r>
    <x v="259"/>
    <x v="258"/>
    <x v="223"/>
    <n v="3.5799999999999998E-2"/>
    <n v="2018735"/>
    <n v="6071099"/>
    <x v="247"/>
    <n v="497310000000"/>
    <x v="259"/>
    <n v="260"/>
    <x v="5"/>
  </r>
  <r>
    <x v="260"/>
    <x v="259"/>
    <x v="164"/>
    <n v="4.7000000000000002E-3"/>
    <n v="2014166"/>
    <n v="119479"/>
    <x v="248"/>
    <n v="3650000000"/>
    <x v="260"/>
    <n v="261"/>
    <x v="5"/>
  </r>
  <r>
    <x v="261"/>
    <x v="260"/>
    <x v="182"/>
    <n v="1E-4"/>
    <n v="1998825"/>
    <n v="75"/>
    <x v="249"/>
    <m/>
    <x v="261"/>
    <n v="262"/>
    <x v="5"/>
  </r>
  <r>
    <x v="262"/>
    <x v="261"/>
    <x v="201"/>
    <n v="5.1999999999999998E-3"/>
    <n v="1673937"/>
    <n v="875639"/>
    <x v="250"/>
    <n v="3570000000"/>
    <x v="262"/>
    <n v="263"/>
    <x v="5"/>
  </r>
  <r>
    <x v="263"/>
    <x v="262"/>
    <x v="224"/>
    <n v="8.9999999999999998E-4"/>
    <n v="1670143"/>
    <n v="8"/>
    <x v="251"/>
    <n v="55410000"/>
    <x v="263"/>
    <n v="264"/>
    <x v="5"/>
  </r>
  <r>
    <x v="264"/>
    <x v="263"/>
    <x v="225"/>
    <n v="2.0000000000000001E-4"/>
    <n v="1658808"/>
    <n v="3960"/>
    <x v="252"/>
    <n v="396570000"/>
    <x v="264"/>
    <n v="265"/>
    <x v="5"/>
  </r>
  <r>
    <x v="265"/>
    <x v="264"/>
    <x v="226"/>
    <n v="2.9100000000000001E-2"/>
    <n v="1658112"/>
    <n v="2395488"/>
    <x v="253"/>
    <n v="692890000"/>
    <x v="265"/>
    <n v="266"/>
    <x v="5"/>
  </r>
  <r>
    <x v="266"/>
    <x v="265"/>
    <x v="227"/>
    <n v="2.3999999999999998E-3"/>
    <n v="1656286"/>
    <n v="60239"/>
    <x v="254"/>
    <n v="1050000000"/>
    <x v="266"/>
    <n v="267"/>
    <x v="5"/>
  </r>
  <r>
    <x v="267"/>
    <x v="266"/>
    <x v="205"/>
    <n v="6.9999999999999999E-4"/>
    <n v="1653777"/>
    <n v="264639"/>
    <x v="255"/>
    <n v="491560000"/>
    <x v="267"/>
    <n v="268"/>
    <x v="5"/>
  </r>
  <r>
    <x v="268"/>
    <x v="267"/>
    <x v="228"/>
    <n v="2.0000000000000001E-4"/>
    <n v="1647748"/>
    <n v="119611"/>
    <x v="256"/>
    <n v="284000000"/>
    <x v="268"/>
    <n v="269"/>
    <x v="5"/>
  </r>
  <r>
    <x v="269"/>
    <x v="268"/>
    <x v="229"/>
    <n v="7.1000000000000004E-3"/>
    <n v="1646017"/>
    <n v="1632086"/>
    <x v="257"/>
    <n v="30000000"/>
    <x v="269"/>
    <n v="270"/>
    <x v="5"/>
  </r>
  <r>
    <x v="270"/>
    <x v="269"/>
    <x v="230"/>
    <n v="1E-4"/>
    <n v="1640224"/>
    <n v="121545"/>
    <x v="258"/>
    <n v="869790000"/>
    <x v="270"/>
    <n v="271"/>
    <x v="5"/>
  </r>
  <r>
    <x v="271"/>
    <x v="270"/>
    <x v="231"/>
    <n v="5.0000000000000001E-3"/>
    <n v="1637470"/>
    <n v="172807"/>
    <x v="259"/>
    <n v="12890000000"/>
    <x v="271"/>
    <n v="272"/>
    <x v="5"/>
  </r>
  <r>
    <x v="272"/>
    <x v="271"/>
    <x v="227"/>
    <n v="5.1000000000000004E-3"/>
    <n v="1630840"/>
    <n v="2095797"/>
    <x v="86"/>
    <n v="1000000000"/>
    <x v="272"/>
    <n v="273"/>
    <x v="5"/>
  </r>
  <r>
    <x v="273"/>
    <x v="272"/>
    <x v="172"/>
    <n v="2.3E-2"/>
    <n v="1630658"/>
    <n v="202903"/>
    <x v="260"/>
    <n v="5930000000"/>
    <x v="273"/>
    <n v="274"/>
    <x v="5"/>
  </r>
  <r>
    <x v="274"/>
    <x v="273"/>
    <x v="115"/>
    <n v="2.0799999999999999E-2"/>
    <n v="1629272"/>
    <n v="6640266"/>
    <x v="261"/>
    <n v="217500000"/>
    <x v="274"/>
    <n v="275"/>
    <x v="5"/>
  </r>
  <r>
    <x v="275"/>
    <x v="274"/>
    <x v="232"/>
    <n v="6.4999999999999997E-3"/>
    <n v="1622431"/>
    <n v="148384"/>
    <x v="262"/>
    <n v="6270000"/>
    <x v="275"/>
    <n v="276"/>
    <x v="5"/>
  </r>
  <r>
    <x v="276"/>
    <x v="275"/>
    <x v="233"/>
    <n v="3.7000000000000002E-3"/>
    <n v="1364927"/>
    <n v="498471"/>
    <x v="263"/>
    <n v="69420000"/>
    <x v="276"/>
    <n v="277"/>
    <x v="5"/>
  </r>
  <r>
    <x v="277"/>
    <x v="276"/>
    <x v="112"/>
    <n v="9.1999999999999998E-3"/>
    <n v="1360623"/>
    <n v="325530"/>
    <x v="232"/>
    <n v="999990000"/>
    <x v="277"/>
    <n v="278"/>
    <x v="5"/>
  </r>
  <r>
    <x v="278"/>
    <x v="277"/>
    <x v="94"/>
    <n v="5.9999999999999995E-4"/>
    <n v="1356556"/>
    <n v="69221"/>
    <x v="264"/>
    <n v="547330000"/>
    <x v="278"/>
    <n v="279"/>
    <x v="5"/>
  </r>
  <r>
    <x v="279"/>
    <x v="278"/>
    <x v="215"/>
    <n v="3.0999999999999999E-3"/>
    <n v="1349188"/>
    <n v="115146"/>
    <x v="265"/>
    <n v="250000000"/>
    <x v="279"/>
    <n v="280"/>
    <x v="5"/>
  </r>
  <r>
    <x v="280"/>
    <x v="279"/>
    <x v="112"/>
    <n v="3.7000000000000002E-3"/>
    <n v="1347893"/>
    <n v="11534"/>
    <x v="266"/>
    <n v="995210000"/>
    <x v="280"/>
    <n v="281"/>
    <x v="5"/>
  </r>
  <r>
    <x v="281"/>
    <x v="280"/>
    <x v="234"/>
    <n v="0"/>
    <n v="1347859"/>
    <n v="3"/>
    <x v="86"/>
    <n v="1000000000"/>
    <x v="281"/>
    <n v="282"/>
    <x v="5"/>
  </r>
  <r>
    <x v="282"/>
    <x v="281"/>
    <x v="235"/>
    <n v="5.5999999999999999E-3"/>
    <n v="1346379"/>
    <n v="8743"/>
    <x v="267"/>
    <n v="1890000"/>
    <x v="282"/>
    <n v="283"/>
    <x v="3"/>
  </r>
  <r>
    <x v="283"/>
    <x v="282"/>
    <x v="234"/>
    <n v="3.5000000000000001E-3"/>
    <n v="1343123"/>
    <n v="528180"/>
    <x v="268"/>
    <n v="998930000"/>
    <x v="283"/>
    <n v="284"/>
    <x v="5"/>
  </r>
  <r>
    <x v="284"/>
    <x v="283"/>
    <x v="236"/>
    <n v="2.9999999999999997E-4"/>
    <n v="1340163"/>
    <n v="94589"/>
    <x v="269"/>
    <n v="263240000"/>
    <x v="284"/>
    <n v="285"/>
    <x v="5"/>
  </r>
  <r>
    <x v="285"/>
    <x v="284"/>
    <x v="237"/>
    <n v="0"/>
    <n v="1335229"/>
    <n v="14"/>
    <x v="270"/>
    <n v="745990"/>
    <x v="285"/>
    <n v="286"/>
    <x v="4"/>
  </r>
  <r>
    <x v="286"/>
    <x v="285"/>
    <x v="234"/>
    <n v="4.3E-3"/>
    <n v="1333124"/>
    <n v="876529"/>
    <x v="271"/>
    <n v="994840000"/>
    <x v="286"/>
    <n v="287"/>
    <x v="5"/>
  </r>
  <r>
    <x v="287"/>
    <x v="286"/>
    <x v="238"/>
    <n v="1.7100000000000001E-2"/>
    <n v="1330087"/>
    <n v="3526156"/>
    <x v="272"/>
    <n v="2020000"/>
    <x v="287"/>
    <n v="288"/>
    <x v="3"/>
  </r>
  <r>
    <x v="288"/>
    <x v="287"/>
    <x v="239"/>
    <n v="1E-4"/>
    <n v="1329457"/>
    <n v="5527"/>
    <x v="273"/>
    <n v="78230000"/>
    <x v="288"/>
    <n v="28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BCF69-4C6E-429C-8E43-8405711E66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F61:G82" firstHeaderRow="1" firstDataRow="1" firstDataCol="1"/>
  <pivotFields count="11">
    <pivotField axis="axisRow" showAll="0" measureFilter="1" sortType="descending">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autoSortScope>
        <pivotArea dataOnly="0" outline="0" fieldPosition="0">
          <references count="1">
            <reference field="4294967294" count="1" selected="0">
              <x v="0"/>
            </reference>
          </references>
        </pivotArea>
      </autoSortScope>
    </pivotField>
    <pivotField axis="axisRow" showAll="0">
      <items count="289">
        <item x="210"/>
        <item x="225"/>
        <item x="19"/>
        <item x="171"/>
        <item x="22"/>
        <item x="178"/>
        <item x="59"/>
        <item x="79"/>
        <item x="10"/>
        <item x="93"/>
        <item x="247"/>
        <item x="267"/>
        <item x="146"/>
        <item x="145"/>
        <item x="189"/>
        <item x="190"/>
        <item x="284"/>
        <item x="268"/>
        <item x="42"/>
        <item x="127"/>
        <item x="206"/>
        <item x="222"/>
        <item x="135"/>
        <item x="185"/>
        <item x="155"/>
        <item x="131"/>
        <item x="84"/>
        <item x="140"/>
        <item x="99"/>
        <item x="69"/>
        <item x="11"/>
        <item x="236"/>
        <item x="33"/>
        <item x="154"/>
        <item x="141"/>
        <item x="121"/>
        <item x="243"/>
        <item x="80"/>
        <item x="166"/>
        <item x="117"/>
        <item x="4"/>
        <item x="40"/>
        <item x="230"/>
        <item x="275"/>
        <item x="196"/>
        <item x="24"/>
        <item x="1"/>
        <item x="219"/>
        <item x="17"/>
        <item x="212"/>
        <item x="112"/>
        <item x="234"/>
        <item x="198"/>
        <item x="224"/>
        <item x="242"/>
        <item x="116"/>
        <item x="27"/>
        <item x="95"/>
        <item x="20"/>
        <item x="0"/>
        <item x="168"/>
        <item x="134"/>
        <item x="86"/>
        <item x="120"/>
        <item x="249"/>
        <item x="133"/>
        <item x="245"/>
        <item x="201"/>
        <item x="170"/>
        <item x="78"/>
        <item x="77"/>
        <item x="215"/>
        <item x="180"/>
        <item x="183"/>
        <item x="149"/>
        <item x="9"/>
        <item x="271"/>
        <item x="68"/>
        <item x="97"/>
        <item x="252"/>
        <item x="54"/>
        <item x="76"/>
        <item x="161"/>
        <item x="94"/>
        <item x="58"/>
        <item x="60"/>
        <item x="26"/>
        <item x="172"/>
        <item x="2"/>
        <item x="55"/>
        <item x="96"/>
        <item x="174"/>
        <item x="81"/>
        <item x="253"/>
        <item x="18"/>
        <item x="105"/>
        <item x="39"/>
        <item x="287"/>
        <item x="35"/>
        <item x="118"/>
        <item x="187"/>
        <item x="38"/>
        <item x="241"/>
        <item x="216"/>
        <item x="231"/>
        <item x="176"/>
        <item x="144"/>
        <item x="227"/>
        <item x="15"/>
        <item x="142"/>
        <item x="165"/>
        <item x="244"/>
        <item x="151"/>
        <item x="204"/>
        <item x="130"/>
        <item x="211"/>
        <item x="14"/>
        <item x="195"/>
        <item x="23"/>
        <item x="63"/>
        <item x="32"/>
        <item x="281"/>
        <item x="16"/>
        <item x="255"/>
        <item x="214"/>
        <item x="25"/>
        <item x="181"/>
        <item x="175"/>
        <item x="160"/>
        <item x="273"/>
        <item x="162"/>
        <item x="246"/>
        <item x="61"/>
        <item x="182"/>
        <item x="192"/>
        <item x="12"/>
        <item x="43"/>
        <item x="83"/>
        <item x="108"/>
        <item x="158"/>
        <item x="277"/>
        <item x="64"/>
        <item x="88"/>
        <item x="51"/>
        <item x="188"/>
        <item x="107"/>
        <item x="109"/>
        <item x="113"/>
        <item x="102"/>
        <item x="184"/>
        <item x="85"/>
        <item x="56"/>
        <item x="98"/>
        <item x="193"/>
        <item x="90"/>
        <item x="274"/>
        <item x="199"/>
        <item x="223"/>
        <item x="239"/>
        <item x="262"/>
        <item x="250"/>
        <item x="209"/>
        <item x="128"/>
        <item x="106"/>
        <item x="29"/>
        <item x="52"/>
        <item x="129"/>
        <item x="115"/>
        <item x="46"/>
        <item x="62"/>
        <item x="75"/>
        <item x="100"/>
        <item x="101"/>
        <item x="248"/>
        <item x="200"/>
        <item x="147"/>
        <item x="186"/>
        <item x="74"/>
        <item x="280"/>
        <item x="257"/>
        <item x="132"/>
        <item x="233"/>
        <item x="72"/>
        <item x="123"/>
        <item x="45"/>
        <item x="205"/>
        <item x="264"/>
        <item x="263"/>
        <item x="114"/>
        <item x="213"/>
        <item x="104"/>
        <item x="87"/>
        <item x="110"/>
        <item x="167"/>
        <item x="30"/>
        <item x="57"/>
        <item x="220"/>
        <item x="91"/>
        <item x="226"/>
        <item x="278"/>
        <item x="48"/>
        <item x="258"/>
        <item x="232"/>
        <item x="111"/>
        <item x="218"/>
        <item x="122"/>
        <item x="53"/>
        <item x="173"/>
        <item x="266"/>
        <item x="270"/>
        <item x="259"/>
        <item x="179"/>
        <item x="103"/>
        <item x="260"/>
        <item x="73"/>
        <item x="157"/>
        <item x="71"/>
        <item x="282"/>
        <item x="50"/>
        <item x="7"/>
        <item x="194"/>
        <item x="139"/>
        <item x="254"/>
        <item x="283"/>
        <item x="221"/>
        <item x="164"/>
        <item x="285"/>
        <item x="286"/>
        <item x="153"/>
        <item x="21"/>
        <item x="202"/>
        <item x="272"/>
        <item x="228"/>
        <item x="92"/>
        <item x="143"/>
        <item x="156"/>
        <item x="148"/>
        <item x="238"/>
        <item x="251"/>
        <item x="66"/>
        <item x="125"/>
        <item x="8"/>
        <item x="28"/>
        <item x="229"/>
        <item x="237"/>
        <item x="208"/>
        <item x="36"/>
        <item x="37"/>
        <item x="6"/>
        <item x="31"/>
        <item x="169"/>
        <item x="3"/>
        <item x="34"/>
        <item x="82"/>
        <item x="124"/>
        <item x="279"/>
        <item x="269"/>
        <item x="70"/>
        <item x="217"/>
        <item x="261"/>
        <item x="152"/>
        <item x="137"/>
        <item x="197"/>
        <item x="44"/>
        <item x="177"/>
        <item x="265"/>
        <item x="150"/>
        <item x="65"/>
        <item x="207"/>
        <item x="67"/>
        <item x="159"/>
        <item x="191"/>
        <item x="13"/>
        <item x="119"/>
        <item x="49"/>
        <item x="5"/>
        <item x="138"/>
        <item x="203"/>
        <item x="163"/>
        <item x="47"/>
        <item x="256"/>
        <item x="276"/>
        <item x="41"/>
        <item x="235"/>
        <item x="240"/>
        <item x="136"/>
        <item x="126"/>
        <item x="89"/>
        <item t="default"/>
      </items>
    </pivotField>
    <pivotField dataField="1" showAll="0"/>
    <pivotField showAll="0"/>
    <pivotField showAll="0"/>
    <pivotField showAll="0"/>
    <pivotField showAll="0"/>
    <pivotField showAll="0"/>
    <pivotField showAll="0"/>
    <pivotField showAll="0"/>
    <pivotField showAll="0">
      <items count="9">
        <item x="3"/>
        <item x="5"/>
        <item x="1"/>
        <item x="2"/>
        <item x="0"/>
        <item x="6"/>
        <item x="4"/>
        <item x="7"/>
        <item t="default"/>
      </items>
    </pivotField>
  </pivotFields>
  <rowFields count="2">
    <field x="0"/>
    <field x="1"/>
  </rowFields>
  <rowItems count="21">
    <i>
      <x v="32"/>
    </i>
    <i r="1">
      <x v="46"/>
    </i>
    <i>
      <x v="148"/>
    </i>
    <i r="1">
      <x v="269"/>
    </i>
    <i>
      <x v="241"/>
    </i>
    <i r="1">
      <x v="270"/>
    </i>
    <i>
      <x v="92"/>
    </i>
    <i r="1">
      <x v="88"/>
    </i>
    <i>
      <x v="41"/>
    </i>
    <i r="1">
      <x v="40"/>
    </i>
    <i>
      <x v="123"/>
    </i>
    <i r="1">
      <x v="192"/>
    </i>
    <i>
      <x v="33"/>
    </i>
    <i r="1">
      <x v="30"/>
    </i>
    <i>
      <x v="158"/>
    </i>
    <i r="1">
      <x v="158"/>
    </i>
    <i>
      <x v="162"/>
    </i>
    <i r="1">
      <x v="272"/>
    </i>
    <i>
      <x v="13"/>
    </i>
    <i r="1">
      <x v="106"/>
    </i>
    <i t="grand">
      <x/>
    </i>
  </rowItems>
  <colItems count="1">
    <i/>
  </colItems>
  <dataFields count="1">
    <dataField name="Sum of Price (USD)" fld="2"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50F21-7B7B-41AE-8CFE-29B2BBD456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A2:B13" firstHeaderRow="1" firstDataRow="1" firstDataCol="1"/>
  <pivotFields count="11">
    <pivotField axis="axisRow" showAll="0" measureFilter="1" sortType="descending">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9">
        <item x="3"/>
        <item x="5"/>
        <item x="1"/>
        <item x="2"/>
        <item x="0"/>
        <item x="6"/>
        <item x="4"/>
        <item x="7"/>
        <item t="default"/>
      </items>
    </pivotField>
  </pivotFields>
  <rowFields count="1">
    <field x="0"/>
  </rowFields>
  <rowItems count="11">
    <i>
      <x v="32"/>
    </i>
    <i>
      <x v="148"/>
    </i>
    <i>
      <x v="241"/>
    </i>
    <i>
      <x v="92"/>
    </i>
    <i>
      <x v="41"/>
    </i>
    <i>
      <x v="123"/>
    </i>
    <i>
      <x v="33"/>
    </i>
    <i>
      <x v="158"/>
    </i>
    <i>
      <x v="162"/>
    </i>
    <i>
      <x v="13"/>
    </i>
    <i t="grand">
      <x/>
    </i>
  </rowItems>
  <colItems count="1">
    <i/>
  </colItems>
  <dataFields count="1">
    <dataField name=" Price (USD)"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362E49-25C1-4E1D-9A4C-D132A3A6AE2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N47:N48" firstHeaderRow="1" firstDataRow="1" firstDataCol="0"/>
  <pivotFields count="11">
    <pivotField showAll="0">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pivotField>
    <pivotField showAll="0"/>
    <pivotField showAll="0"/>
    <pivotField showAll="0"/>
    <pivotField showAll="0"/>
    <pivotField showAll="0"/>
    <pivotField showAll="0">
      <items count="275">
        <item x="254"/>
        <item x="87"/>
        <item x="138"/>
        <item x="20"/>
        <item x="215"/>
        <item x="48"/>
        <item x="67"/>
        <item x="229"/>
        <item x="71"/>
        <item x="160"/>
        <item x="114"/>
        <item x="239"/>
        <item x="62"/>
        <item x="267"/>
        <item x="57"/>
        <item x="74"/>
        <item x="19"/>
        <item x="99"/>
        <item x="14"/>
        <item x="132"/>
        <item x="129"/>
        <item x="157"/>
        <item x="209"/>
        <item x="243"/>
        <item x="118"/>
        <item x="64"/>
        <item x="191"/>
        <item x="259"/>
        <item x="81"/>
        <item x="2"/>
        <item x="249"/>
        <item x="61"/>
        <item x="105"/>
        <item x="4"/>
        <item x="102"/>
        <item x="59"/>
        <item x="176"/>
        <item x="175"/>
        <item x="193"/>
        <item x="122"/>
        <item x="44"/>
        <item x="135"/>
        <item x="137"/>
        <item x="115"/>
        <item x="9"/>
        <item x="225"/>
        <item x="186"/>
        <item x="12"/>
        <item x="3"/>
        <item x="133"/>
        <item x="117"/>
        <item x="18"/>
        <item x="182"/>
        <item x="45"/>
        <item x="1"/>
        <item x="86"/>
        <item x="272"/>
        <item x="139"/>
        <item x="29"/>
        <item x="121"/>
        <item x="156"/>
        <item x="128"/>
        <item x="116"/>
        <item x="84"/>
        <item x="63"/>
        <item x="184"/>
        <item x="75"/>
        <item x="211"/>
        <item x="202"/>
        <item x="190"/>
        <item x="218"/>
        <item x="60"/>
        <item x="40"/>
        <item x="95"/>
        <item x="72"/>
        <item x="80"/>
        <item x="261"/>
        <item x="195"/>
        <item x="204"/>
        <item x="112"/>
        <item x="91"/>
        <item x="189"/>
        <item x="235"/>
        <item x="109"/>
        <item x="265"/>
        <item x="104"/>
        <item x="142"/>
        <item x="269"/>
        <item x="93"/>
        <item x="46"/>
        <item x="217"/>
        <item x="54"/>
        <item x="37"/>
        <item x="149"/>
        <item x="256"/>
        <item x="210"/>
        <item x="143"/>
        <item x="196"/>
        <item x="69"/>
        <item x="21"/>
        <item x="250"/>
        <item x="248"/>
        <item x="183"/>
        <item x="146"/>
        <item x="220"/>
        <item x="41"/>
        <item x="257"/>
        <item x="96"/>
        <item x="58"/>
        <item x="107"/>
        <item x="169"/>
        <item x="108"/>
        <item x="162"/>
        <item x="203"/>
        <item x="13"/>
        <item x="30"/>
        <item x="28"/>
        <item x="0"/>
        <item x="88"/>
        <item x="111"/>
        <item x="10"/>
        <item x="89"/>
        <item x="147"/>
        <item x="24"/>
        <item x="245"/>
        <item x="90"/>
        <item x="236"/>
        <item x="159"/>
        <item x="252"/>
        <item x="200"/>
        <item x="22"/>
        <item x="242"/>
        <item x="205"/>
        <item x="207"/>
        <item x="141"/>
        <item x="39"/>
        <item x="97"/>
        <item x="123"/>
        <item x="174"/>
        <item x="26"/>
        <item x="33"/>
        <item x="136"/>
        <item x="101"/>
        <item x="153"/>
        <item x="246"/>
        <item x="201"/>
        <item x="222"/>
        <item x="187"/>
        <item x="255"/>
        <item x="51"/>
        <item x="36"/>
        <item x="194"/>
        <item x="247"/>
        <item x="212"/>
        <item x="197"/>
        <item x="25"/>
        <item x="230"/>
        <item x="79"/>
        <item x="260"/>
        <item x="35"/>
        <item x="83"/>
        <item x="177"/>
        <item x="264"/>
        <item x="251"/>
        <item x="120"/>
        <item x="7"/>
        <item x="34"/>
        <item x="165"/>
        <item x="192"/>
        <item x="130"/>
        <item x="161"/>
        <item x="103"/>
        <item x="167"/>
        <item x="23"/>
        <item x="140"/>
        <item x="262"/>
        <item x="219"/>
        <item x="68"/>
        <item x="82"/>
        <item x="233"/>
        <item x="5"/>
        <item x="228"/>
        <item x="208"/>
        <item x="32"/>
        <item x="126"/>
        <item x="110"/>
        <item x="52"/>
        <item x="231"/>
        <item x="119"/>
        <item x="263"/>
        <item x="131"/>
        <item x="253"/>
        <item x="244"/>
        <item x="134"/>
        <item x="158"/>
        <item x="150"/>
        <item x="172"/>
        <item x="31"/>
        <item x="50"/>
        <item x="49"/>
        <item x="240"/>
        <item x="241"/>
        <item x="65"/>
        <item x="166"/>
        <item x="164"/>
        <item x="11"/>
        <item x="70"/>
        <item x="73"/>
        <item x="47"/>
        <item x="270"/>
        <item x="181"/>
        <item x="42"/>
        <item x="224"/>
        <item x="6"/>
        <item x="127"/>
        <item x="273"/>
        <item x="234"/>
        <item x="173"/>
        <item x="106"/>
        <item x="124"/>
        <item x="216"/>
        <item x="198"/>
        <item x="163"/>
        <item x="214"/>
        <item x="151"/>
        <item x="55"/>
        <item x="223"/>
        <item x="145"/>
        <item x="148"/>
        <item x="154"/>
        <item x="168"/>
        <item x="258"/>
        <item x="125"/>
        <item x="206"/>
        <item x="53"/>
        <item x="113"/>
        <item x="227"/>
        <item x="17"/>
        <item x="226"/>
        <item x="178"/>
        <item x="56"/>
        <item x="199"/>
        <item x="15"/>
        <item x="155"/>
        <item x="100"/>
        <item x="78"/>
        <item x="66"/>
        <item x="188"/>
        <item x="171"/>
        <item x="8"/>
        <item x="179"/>
        <item x="76"/>
        <item x="85"/>
        <item x="238"/>
        <item x="185"/>
        <item x="170"/>
        <item x="237"/>
        <item x="213"/>
        <item x="43"/>
        <item x="38"/>
        <item x="16"/>
        <item x="94"/>
        <item x="221"/>
        <item x="271"/>
        <item x="266"/>
        <item x="98"/>
        <item x="92"/>
        <item x="268"/>
        <item x="152"/>
        <item x="77"/>
        <item x="144"/>
        <item x="180"/>
        <item x="232"/>
        <item x="27"/>
        <item t="default"/>
      </items>
    </pivotField>
    <pivotField dataField="1" showAll="0"/>
    <pivotField showAll="0"/>
    <pivotField showAll="0"/>
    <pivotField showAll="0">
      <items count="9">
        <item x="3"/>
        <item x="5"/>
        <item x="1"/>
        <item x="2"/>
        <item x="0"/>
        <item x="6"/>
        <item x="4"/>
        <item x="7"/>
        <item t="default"/>
      </items>
    </pivotField>
  </pivotFields>
  <rowItems count="1">
    <i/>
  </rowItems>
  <colItems count="1">
    <i/>
  </colItems>
  <dataFields count="1">
    <dataField name="Sum of Circulating_Suppl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FA049-54F0-4B2F-9E7B-DB96301786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N41:N42" firstHeaderRow="1" firstDataRow="1" firstDataCol="0"/>
  <pivotFields count="11">
    <pivotField showAll="0">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pivotField>
    <pivotField showAll="0"/>
    <pivotField showAll="0"/>
    <pivotField showAll="0"/>
    <pivotField dataField="1" showAll="0"/>
    <pivotField showAll="0"/>
    <pivotField showAll="0"/>
    <pivotField showAll="0"/>
    <pivotField showAll="0"/>
    <pivotField showAll="0"/>
    <pivotField showAll="0">
      <items count="9">
        <item x="3"/>
        <item x="5"/>
        <item x="1"/>
        <item x="2"/>
        <item x="0"/>
        <item x="6"/>
        <item x="4"/>
        <item x="7"/>
        <item t="default"/>
      </items>
    </pivotField>
  </pivotFields>
  <rowItems count="1">
    <i/>
  </rowItems>
  <colItems count="1">
    <i/>
  </colItems>
  <dataFields count="1">
    <dataField name="Sum of Market C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3FB70-7830-4D19-A610-53BAA12057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S11:T301" firstHeaderRow="1" firstDataRow="1" firstDataCol="1"/>
  <pivotFields count="11">
    <pivotField axis="axisRow" showAll="0">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pivotField>
    <pivotField showAll="0"/>
    <pivotField showAll="0"/>
    <pivotField showAll="0"/>
    <pivotField dataField="1" showAll="0"/>
    <pivotField showAll="0"/>
    <pivotField showAll="0"/>
    <pivotField showAll="0"/>
    <pivotField showAll="0"/>
    <pivotField showAll="0"/>
    <pivotField showAll="0">
      <items count="9">
        <item x="3"/>
        <item x="5"/>
        <item x="1"/>
        <item x="2"/>
        <item x="0"/>
        <item x="6"/>
        <item x="4"/>
        <item x="7"/>
        <item t="default"/>
      </items>
    </pivotField>
  </pivotFields>
  <rowFields count="1">
    <field x="0"/>
  </rowFields>
  <rowItems count="2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t="grand">
      <x/>
    </i>
  </rowItems>
  <colItems count="1">
    <i/>
  </colItems>
  <dataFields count="1">
    <dataField name="Sum of Market Cap"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26FE6D-B540-40D2-8530-B80A4E9054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43:D54" firstHeaderRow="0" firstDataRow="1" firstDataCol="1"/>
  <pivotFields count="11">
    <pivotField axis="axisRow" showAll="0" measureFilter="1">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pivotField>
    <pivotField showAll="0"/>
    <pivotField dataField="1" showAll="0">
      <items count="241">
        <item x="18"/>
        <item x="231"/>
        <item x="175"/>
        <item x="172"/>
        <item x="213"/>
        <item x="201"/>
        <item x="164"/>
        <item x="183"/>
        <item x="55"/>
        <item x="146"/>
        <item x="50"/>
        <item x="234"/>
        <item x="112"/>
        <item x="227"/>
        <item x="169"/>
        <item x="170"/>
        <item x="230"/>
        <item x="130"/>
        <item x="216"/>
        <item x="124"/>
        <item x="226"/>
        <item x="94"/>
        <item x="210"/>
        <item x="49"/>
        <item x="202"/>
        <item x="193"/>
        <item x="195"/>
        <item x="205"/>
        <item x="61"/>
        <item x="204"/>
        <item x="212"/>
        <item x="225"/>
        <item x="209"/>
        <item x="189"/>
        <item x="47"/>
        <item x="176"/>
        <item x="236"/>
        <item x="171"/>
        <item x="215"/>
        <item x="228"/>
        <item x="129"/>
        <item x="166"/>
        <item x="194"/>
        <item x="165"/>
        <item x="67"/>
        <item x="43"/>
        <item x="110"/>
        <item x="115"/>
        <item x="30"/>
        <item x="58"/>
        <item x="159"/>
        <item x="157"/>
        <item x="158"/>
        <item x="155"/>
        <item x="141"/>
        <item x="134"/>
        <item x="52"/>
        <item x="214"/>
        <item x="108"/>
        <item x="128"/>
        <item x="143"/>
        <item x="187"/>
        <item x="75"/>
        <item x="154"/>
        <item x="83"/>
        <item x="200"/>
        <item x="182"/>
        <item x="69"/>
        <item x="239"/>
        <item x="119"/>
        <item x="74"/>
        <item x="233"/>
        <item x="19"/>
        <item x="174"/>
        <item x="181"/>
        <item x="142"/>
        <item x="107"/>
        <item x="150"/>
        <item x="86"/>
        <item x="101"/>
        <item x="93"/>
        <item x="137"/>
        <item x="59"/>
        <item x="64"/>
        <item x="114"/>
        <item x="224"/>
        <item x="71"/>
        <item x="199"/>
        <item x="98"/>
        <item x="139"/>
        <item x="85"/>
        <item x="20"/>
        <item x="15"/>
        <item x="77"/>
        <item x="117"/>
        <item x="196"/>
        <item x="76"/>
        <item x="16"/>
        <item x="161"/>
        <item x="162"/>
        <item x="132"/>
        <item x="42"/>
        <item x="73"/>
        <item x="173"/>
        <item x="223"/>
        <item x="229"/>
        <item x="68"/>
        <item x="51"/>
        <item x="105"/>
        <item x="25"/>
        <item x="122"/>
        <item x="56"/>
        <item x="29"/>
        <item x="191"/>
        <item x="197"/>
        <item x="203"/>
        <item x="17"/>
        <item x="190"/>
        <item x="46"/>
        <item x="82"/>
        <item x="70"/>
        <item x="27"/>
        <item x="160"/>
        <item x="188"/>
        <item x="88"/>
        <item x="178"/>
        <item x="127"/>
        <item x="45"/>
        <item x="167"/>
        <item x="87"/>
        <item x="99"/>
        <item x="222"/>
        <item x="103"/>
        <item x="23"/>
        <item x="106"/>
        <item x="57"/>
        <item x="33"/>
        <item x="151"/>
        <item x="116"/>
        <item x="22"/>
        <item x="198"/>
        <item x="144"/>
        <item x="163"/>
        <item x="138"/>
        <item x="135"/>
        <item x="109"/>
        <item x="140"/>
        <item x="91"/>
        <item x="123"/>
        <item x="9"/>
        <item x="121"/>
        <item x="53"/>
        <item x="100"/>
        <item x="60"/>
        <item x="79"/>
        <item x="72"/>
        <item x="220"/>
        <item x="186"/>
        <item x="147"/>
        <item x="120"/>
        <item x="156"/>
        <item x="113"/>
        <item x="62"/>
        <item x="232"/>
        <item x="219"/>
        <item x="207"/>
        <item x="40"/>
        <item x="208"/>
        <item x="8"/>
        <item x="126"/>
        <item x="179"/>
        <item x="168"/>
        <item x="104"/>
        <item x="21"/>
        <item x="10"/>
        <item x="177"/>
        <item x="84"/>
        <item x="78"/>
        <item x="185"/>
        <item x="133"/>
        <item x="63"/>
        <item x="96"/>
        <item x="184"/>
        <item x="41"/>
        <item x="238"/>
        <item x="235"/>
        <item x="89"/>
        <item x="125"/>
        <item x="28"/>
        <item x="39"/>
        <item x="31"/>
        <item x="36"/>
        <item x="153"/>
        <item x="38"/>
        <item x="3"/>
        <item x="6"/>
        <item x="37"/>
        <item x="217"/>
        <item x="34"/>
        <item x="54"/>
        <item x="90"/>
        <item x="35"/>
        <item x="97"/>
        <item x="237"/>
        <item x="5"/>
        <item x="118"/>
        <item x="136"/>
        <item x="44"/>
        <item x="80"/>
        <item x="48"/>
        <item x="32"/>
        <item x="148"/>
        <item x="81"/>
        <item x="26"/>
        <item x="180"/>
        <item x="152"/>
        <item x="12"/>
        <item x="149"/>
        <item x="24"/>
        <item x="65"/>
        <item x="14"/>
        <item x="221"/>
        <item x="92"/>
        <item x="111"/>
        <item x="7"/>
        <item x="192"/>
        <item x="206"/>
        <item x="0"/>
        <item x="218"/>
        <item x="95"/>
        <item x="131"/>
        <item x="13"/>
        <item x="211"/>
        <item x="11"/>
        <item x="102"/>
        <item x="4"/>
        <item x="2"/>
        <item x="145"/>
        <item x="66"/>
        <item x="1"/>
        <item t="default"/>
      </items>
    </pivotField>
    <pivotField showAll="0"/>
    <pivotField showAll="0"/>
    <pivotField showAll="0"/>
    <pivotField showAll="0"/>
    <pivotField showAll="0"/>
    <pivotField dataField="1" showAll="0">
      <items count="290">
        <item x="37"/>
        <item x="258"/>
        <item x="177"/>
        <item x="211"/>
        <item x="57"/>
        <item x="281"/>
        <item x="198"/>
        <item x="17"/>
        <item x="216"/>
        <item x="29"/>
        <item x="134"/>
        <item x="224"/>
        <item x="195"/>
        <item x="142"/>
        <item x="263"/>
        <item x="42"/>
        <item x="247"/>
        <item x="214"/>
        <item x="18"/>
        <item x="176"/>
        <item x="133"/>
        <item x="244"/>
        <item x="181"/>
        <item x="70"/>
        <item x="189"/>
        <item x="191"/>
        <item x="171"/>
        <item x="264"/>
        <item x="204"/>
        <item x="243"/>
        <item x="249"/>
        <item x="280"/>
        <item x="236"/>
        <item x="259"/>
        <item x="141"/>
        <item x="271"/>
        <item x="285"/>
        <item x="122"/>
        <item x="43"/>
        <item x="187"/>
        <item x="219"/>
        <item x="188"/>
        <item x="96"/>
        <item x="230"/>
        <item x="260"/>
        <item x="245"/>
        <item x="273"/>
        <item x="175"/>
        <item x="160"/>
        <item x="256"/>
        <item x="50"/>
        <item x="228"/>
        <item x="229"/>
        <item x="180"/>
        <item x="232"/>
        <item x="266"/>
        <item x="99"/>
        <item x="137"/>
        <item x="128"/>
        <item x="288"/>
        <item x="30"/>
        <item x="174"/>
        <item x="158"/>
        <item x="49"/>
        <item x="212"/>
        <item x="71"/>
        <item x="172"/>
        <item x="102"/>
        <item x="278"/>
        <item x="218"/>
        <item x="64"/>
        <item x="56"/>
        <item x="270"/>
        <item x="241"/>
        <item x="113"/>
        <item x="90"/>
        <item x="153"/>
        <item x="248"/>
        <item x="40"/>
        <item x="242"/>
        <item x="38"/>
        <item x="139"/>
        <item x="53"/>
        <item x="47"/>
        <item x="262"/>
        <item x="182"/>
        <item x="223"/>
        <item x="62"/>
        <item x="238"/>
        <item x="31"/>
        <item x="184"/>
        <item x="148"/>
        <item x="76"/>
        <item x="190"/>
        <item x="121"/>
        <item x="277"/>
        <item x="97"/>
        <item x="233"/>
        <item x="284"/>
        <item x="161"/>
        <item x="146"/>
        <item x="41"/>
        <item x="203"/>
        <item x="268"/>
        <item x="254"/>
        <item x="220"/>
        <item x="279"/>
        <item x="59"/>
        <item x="237"/>
        <item x="52"/>
        <item x="95"/>
        <item x="143"/>
        <item x="183"/>
        <item x="283"/>
        <item x="267"/>
        <item x="119"/>
        <item x="157"/>
        <item x="36"/>
        <item x="39"/>
        <item x="131"/>
        <item x="226"/>
        <item x="192"/>
        <item x="124"/>
        <item x="196"/>
        <item x="286"/>
        <item x="115"/>
        <item x="19"/>
        <item x="208"/>
        <item x="221"/>
        <item x="136"/>
        <item x="15"/>
        <item x="194"/>
        <item x="185"/>
        <item x="213"/>
        <item x="199"/>
        <item x="231"/>
        <item x="33"/>
        <item x="135"/>
        <item x="87"/>
        <item x="129"/>
        <item x="82"/>
        <item x="106"/>
        <item x="167"/>
        <item x="239"/>
        <item x="272"/>
        <item x="23"/>
        <item x="27"/>
        <item x="117"/>
        <item x="34"/>
        <item x="109"/>
        <item x="77"/>
        <item x="170"/>
        <item x="25"/>
        <item x="74"/>
        <item x="16"/>
        <item x="166"/>
        <item x="132"/>
        <item x="22"/>
        <item x="78"/>
        <item x="60"/>
        <item x="9"/>
        <item x="155"/>
        <item x="58"/>
        <item x="265"/>
        <item x="68"/>
        <item x="168"/>
        <item x="123"/>
        <item x="147"/>
        <item x="80"/>
        <item x="253"/>
        <item x="116"/>
        <item x="89"/>
        <item x="156"/>
        <item x="209"/>
        <item x="246"/>
        <item x="173"/>
        <item x="222"/>
        <item x="282"/>
        <item x="8"/>
        <item x="193"/>
        <item x="162"/>
        <item x="186"/>
        <item x="165"/>
        <item x="206"/>
        <item x="210"/>
        <item x="93"/>
        <item x="65"/>
        <item x="200"/>
        <item x="152"/>
        <item x="276"/>
        <item x="69"/>
        <item x="114"/>
        <item x="150"/>
        <item x="126"/>
        <item x="45"/>
        <item x="179"/>
        <item x="107"/>
        <item x="10"/>
        <item x="145"/>
        <item x="138"/>
        <item x="51"/>
        <item x="202"/>
        <item x="178"/>
        <item x="20"/>
        <item x="108"/>
        <item x="101"/>
        <item x="86"/>
        <item x="149"/>
        <item x="255"/>
        <item x="73"/>
        <item x="54"/>
        <item x="227"/>
        <item x="197"/>
        <item x="112"/>
        <item x="72"/>
        <item x="111"/>
        <item x="151"/>
        <item x="225"/>
        <item x="275"/>
        <item x="21"/>
        <item x="46"/>
        <item x="250"/>
        <item x="44"/>
        <item x="215"/>
        <item x="274"/>
        <item x="81"/>
        <item x="61"/>
        <item x="92"/>
        <item x="94"/>
        <item x="35"/>
        <item x="28"/>
        <item x="130"/>
        <item x="5"/>
        <item x="75"/>
        <item x="88"/>
        <item x="32"/>
        <item x="6"/>
        <item x="252"/>
        <item x="269"/>
        <item x="235"/>
        <item x="205"/>
        <item x="154"/>
        <item x="55"/>
        <item x="104"/>
        <item x="140"/>
        <item x="125"/>
        <item x="103"/>
        <item x="98"/>
        <item x="91"/>
        <item x="164"/>
        <item x="79"/>
        <item x="105"/>
        <item x="84"/>
        <item x="207"/>
        <item x="3"/>
        <item x="12"/>
        <item x="169"/>
        <item x="14"/>
        <item x="26"/>
        <item x="24"/>
        <item x="85"/>
        <item x="201"/>
        <item x="63"/>
        <item x="118"/>
        <item x="48"/>
        <item x="163"/>
        <item x="83"/>
        <item x="120"/>
        <item x="287"/>
        <item x="234"/>
        <item x="100"/>
        <item x="217"/>
        <item x="257"/>
        <item x="7"/>
        <item x="66"/>
        <item x="144"/>
        <item x="127"/>
        <item x="110"/>
        <item x="4"/>
        <item x="67"/>
        <item x="13"/>
        <item x="11"/>
        <item x="251"/>
        <item x="0"/>
        <item x="159"/>
        <item x="240"/>
        <item x="2"/>
        <item x="1"/>
        <item x="261"/>
        <item t="default"/>
      </items>
    </pivotField>
    <pivotField showAll="0"/>
    <pivotField showAll="0">
      <items count="9">
        <item x="3"/>
        <item x="5"/>
        <item x="1"/>
        <item x="2"/>
        <item x="0"/>
        <item x="6"/>
        <item x="4"/>
        <item x="7"/>
        <item t="default"/>
      </items>
    </pivotField>
  </pivotFields>
  <rowFields count="1">
    <field x="0"/>
  </rowFields>
  <rowItems count="11">
    <i>
      <x v="13"/>
    </i>
    <i>
      <x v="32"/>
    </i>
    <i>
      <x v="33"/>
    </i>
    <i>
      <x v="41"/>
    </i>
    <i>
      <x v="92"/>
    </i>
    <i>
      <x v="123"/>
    </i>
    <i>
      <x v="148"/>
    </i>
    <i>
      <x v="158"/>
    </i>
    <i>
      <x v="162"/>
    </i>
    <i>
      <x v="241"/>
    </i>
    <i t="grand">
      <x/>
    </i>
  </rowItems>
  <colFields count="1">
    <field x="-2"/>
  </colFields>
  <colItems count="2">
    <i>
      <x/>
    </i>
    <i i="1">
      <x v="1"/>
    </i>
  </colItems>
  <dataFields count="2">
    <dataField name="Sum of Price (USD)" fld="2" baseField="0" baseItem="0"/>
    <dataField name="Sum of DollarVolume per Supply" fld="8" baseField="0" baseItem="13"/>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63DFD6-2525-4308-B9D6-166089E92D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in Name">
  <location ref="A25:B36" firstHeaderRow="1" firstDataRow="1" firstDataCol="1"/>
  <pivotFields count="11">
    <pivotField axis="axisRow" showAll="0" measureFilter="1">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pivotField>
    <pivotField showAll="0"/>
    <pivotField showAll="0"/>
    <pivotField dataField="1" showAll="0"/>
    <pivotField showAll="0"/>
    <pivotField showAll="0"/>
    <pivotField showAll="0"/>
    <pivotField showAll="0"/>
    <pivotField showAll="0"/>
    <pivotField showAll="0"/>
    <pivotField showAll="0">
      <items count="9">
        <item x="3"/>
        <item x="5"/>
        <item x="1"/>
        <item x="2"/>
        <item x="0"/>
        <item x="6"/>
        <item x="4"/>
        <item x="7"/>
        <item t="default"/>
      </items>
    </pivotField>
  </pivotFields>
  <rowFields count="1">
    <field x="0"/>
  </rowFields>
  <rowItems count="11">
    <i>
      <x v="19"/>
    </i>
    <i>
      <x v="39"/>
    </i>
    <i>
      <x v="65"/>
    </i>
    <i>
      <x v="70"/>
    </i>
    <i>
      <x v="80"/>
    </i>
    <i>
      <x v="122"/>
    </i>
    <i>
      <x v="145"/>
    </i>
    <i>
      <x v="178"/>
    </i>
    <i>
      <x v="206"/>
    </i>
    <i>
      <x v="210"/>
    </i>
    <i t="grand">
      <x/>
    </i>
  </rowItems>
  <colItems count="1">
    <i/>
  </colItems>
  <dataFields count="1">
    <dataField name="Sum of 1h Change (%)" fld="3" baseField="0" baseItem="0"/>
  </dataFields>
  <chartFormats count="3">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A22BAB-D233-4D7F-BD60-88D7CD7913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N44:N45" firstHeaderRow="1" firstDataRow="1" firstDataCol="0"/>
  <pivotFields count="11">
    <pivotField showAll="0">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pivotField>
    <pivotField showAll="0"/>
    <pivotField dataField="1" showAll="0"/>
    <pivotField showAll="0"/>
    <pivotField showAll="0"/>
    <pivotField showAll="0"/>
    <pivotField showAll="0"/>
    <pivotField showAll="0"/>
    <pivotField showAll="0"/>
    <pivotField showAll="0"/>
    <pivotField showAll="0">
      <items count="9">
        <item x="3"/>
        <item x="5"/>
        <item x="1"/>
        <item x="2"/>
        <item x="0"/>
        <item x="6"/>
        <item x="4"/>
        <item x="7"/>
        <item t="default"/>
      </items>
    </pivotField>
  </pivotFields>
  <rowItems count="1">
    <i/>
  </rowItems>
  <colItems count="1">
    <i/>
  </colItems>
  <dataFields count="1">
    <dataField name="Sum of Price (US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CA1515-BEC2-4CD5-ABD3-342214600A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W33:X54" firstHeaderRow="1" firstDataRow="1" firstDataCol="1"/>
  <pivotFields count="11">
    <pivotField axis="axisRow" showAll="0" measureFilter="1" sortType="descending">
      <items count="290">
        <item x="171"/>
        <item x="79"/>
        <item x="93"/>
        <item x="58"/>
        <item x="248"/>
        <item x="83"/>
        <item x="146"/>
        <item x="268"/>
        <item x="29"/>
        <item x="189"/>
        <item x="59"/>
        <item x="143"/>
        <item x="135"/>
        <item x="144"/>
        <item x="285"/>
        <item x="105"/>
        <item x="269"/>
        <item x="42"/>
        <item x="223"/>
        <item x="127"/>
        <item x="206"/>
        <item x="185"/>
        <item x="115"/>
        <item x="155"/>
        <item x="131"/>
        <item x="140"/>
        <item x="84"/>
        <item x="99"/>
        <item x="33"/>
        <item x="154"/>
        <item x="141"/>
        <item x="244"/>
        <item x="1"/>
        <item x="11"/>
        <item x="24"/>
        <item x="237"/>
        <item x="219"/>
        <item x="17"/>
        <item x="212"/>
        <item x="117"/>
        <item x="188"/>
        <item x="4"/>
        <item x="231"/>
        <item x="69"/>
        <item x="276"/>
        <item x="166"/>
        <item x="196"/>
        <item x="121"/>
        <item x="10"/>
        <item x="56"/>
        <item x="198"/>
        <item x="225"/>
        <item x="243"/>
        <item x="116"/>
        <item x="112"/>
        <item x="12"/>
        <item x="20"/>
        <item x="95"/>
        <item x="120"/>
        <item x="0"/>
        <item x="168"/>
        <item x="27"/>
        <item x="78"/>
        <item x="134"/>
        <item x="86"/>
        <item x="246"/>
        <item x="235"/>
        <item x="250"/>
        <item x="133"/>
        <item x="201"/>
        <item x="170"/>
        <item x="215"/>
        <item x="77"/>
        <item x="221"/>
        <item x="76"/>
        <item x="257"/>
        <item x="180"/>
        <item x="149"/>
        <item x="9"/>
        <item x="272"/>
        <item x="68"/>
        <item x="97"/>
        <item x="22"/>
        <item x="183"/>
        <item x="253"/>
        <item x="54"/>
        <item x="161"/>
        <item x="94"/>
        <item x="191"/>
        <item x="96"/>
        <item x="60"/>
        <item x="172"/>
        <item x="2"/>
        <item x="26"/>
        <item x="55"/>
        <item x="107"/>
        <item x="174"/>
        <item x="31"/>
        <item x="35"/>
        <item x="18"/>
        <item x="81"/>
        <item x="288"/>
        <item x="118"/>
        <item x="187"/>
        <item x="38"/>
        <item x="242"/>
        <item x="216"/>
        <item x="176"/>
        <item x="228"/>
        <item x="232"/>
        <item x="142"/>
        <item x="165"/>
        <item x="62"/>
        <item x="245"/>
        <item x="80"/>
        <item x="151"/>
        <item x="195"/>
        <item x="130"/>
        <item x="211"/>
        <item x="158"/>
        <item x="14"/>
        <item x="145"/>
        <item x="63"/>
        <item x="110"/>
        <item x="23"/>
        <item x="256"/>
        <item x="282"/>
        <item x="32"/>
        <item x="16"/>
        <item x="25"/>
        <item x="214"/>
        <item x="181"/>
        <item x="160"/>
        <item x="175"/>
        <item x="162"/>
        <item x="274"/>
        <item x="247"/>
        <item x="182"/>
        <item x="39"/>
        <item x="108"/>
        <item x="192"/>
        <item x="88"/>
        <item x="43"/>
        <item x="278"/>
        <item x="51"/>
        <item x="90"/>
        <item x="46"/>
        <item x="21"/>
        <item x="67"/>
        <item x="109"/>
        <item x="113"/>
        <item x="210"/>
        <item x="102"/>
        <item x="184"/>
        <item x="92"/>
        <item x="204"/>
        <item x="85"/>
        <item x="251"/>
        <item x="240"/>
        <item x="275"/>
        <item x="98"/>
        <item x="199"/>
        <item x="13"/>
        <item x="263"/>
        <item x="193"/>
        <item x="209"/>
        <item x="128"/>
        <item x="106"/>
        <item x="129"/>
        <item x="52"/>
        <item x="53"/>
        <item x="226"/>
        <item x="34"/>
        <item x="75"/>
        <item x="101"/>
        <item x="100"/>
        <item x="249"/>
        <item x="200"/>
        <item x="147"/>
        <item x="74"/>
        <item x="258"/>
        <item x="132"/>
        <item x="72"/>
        <item x="126"/>
        <item x="123"/>
        <item x="45"/>
        <item x="265"/>
        <item x="205"/>
        <item x="264"/>
        <item x="234"/>
        <item x="266"/>
        <item x="114"/>
        <item x="186"/>
        <item x="213"/>
        <item x="87"/>
        <item x="169"/>
        <item x="167"/>
        <item x="271"/>
        <item x="30"/>
        <item x="233"/>
        <item x="57"/>
        <item x="220"/>
        <item x="91"/>
        <item x="227"/>
        <item x="279"/>
        <item x="48"/>
        <item x="259"/>
        <item x="111"/>
        <item x="218"/>
        <item x="122"/>
        <item x="173"/>
        <item x="267"/>
        <item x="103"/>
        <item x="260"/>
        <item x="179"/>
        <item x="178"/>
        <item x="284"/>
        <item x="261"/>
        <item x="73"/>
        <item x="157"/>
        <item x="71"/>
        <item x="50"/>
        <item x="7"/>
        <item x="61"/>
        <item x="139"/>
        <item x="222"/>
        <item x="190"/>
        <item x="254"/>
        <item x="164"/>
        <item x="286"/>
        <item x="19"/>
        <item x="287"/>
        <item x="283"/>
        <item x="153"/>
        <item x="40"/>
        <item x="273"/>
        <item x="66"/>
        <item x="156"/>
        <item x="229"/>
        <item x="82"/>
        <item x="3"/>
        <item x="159"/>
        <item x="15"/>
        <item x="148"/>
        <item x="239"/>
        <item x="64"/>
        <item x="255"/>
        <item x="252"/>
        <item x="125"/>
        <item x="8"/>
        <item x="28"/>
        <item x="202"/>
        <item x="230"/>
        <item x="238"/>
        <item x="208"/>
        <item x="241"/>
        <item x="194"/>
        <item x="37"/>
        <item x="6"/>
        <item x="36"/>
        <item x="262"/>
        <item x="124"/>
        <item x="47"/>
        <item x="280"/>
        <item x="270"/>
        <item x="70"/>
        <item x="217"/>
        <item x="104"/>
        <item x="137"/>
        <item x="44"/>
        <item x="197"/>
        <item x="177"/>
        <item x="224"/>
        <item x="65"/>
        <item x="150"/>
        <item x="152"/>
        <item x="207"/>
        <item x="119"/>
        <item x="49"/>
        <item x="5"/>
        <item x="138"/>
        <item x="203"/>
        <item x="163"/>
        <item x="277"/>
        <item x="281"/>
        <item x="236"/>
        <item x="41"/>
        <item x="136"/>
        <item x="89"/>
        <item t="default"/>
      </items>
      <autoSortScope>
        <pivotArea dataOnly="0" outline="0" fieldPosition="0">
          <references count="1">
            <reference field="4294967294" count="1" selected="0">
              <x v="0"/>
            </reference>
          </references>
        </pivotArea>
      </autoSortScope>
    </pivotField>
    <pivotField axis="axisRow" showAll="0">
      <items count="289">
        <item x="210"/>
        <item x="225"/>
        <item x="19"/>
        <item x="171"/>
        <item x="22"/>
        <item x="178"/>
        <item x="59"/>
        <item x="79"/>
        <item x="10"/>
        <item x="93"/>
        <item x="247"/>
        <item x="267"/>
        <item x="146"/>
        <item x="145"/>
        <item x="189"/>
        <item x="190"/>
        <item x="284"/>
        <item x="268"/>
        <item x="42"/>
        <item x="127"/>
        <item x="206"/>
        <item x="222"/>
        <item x="135"/>
        <item x="185"/>
        <item x="155"/>
        <item x="131"/>
        <item x="84"/>
        <item x="140"/>
        <item x="99"/>
        <item x="69"/>
        <item x="11"/>
        <item x="236"/>
        <item x="33"/>
        <item x="154"/>
        <item x="141"/>
        <item x="121"/>
        <item x="243"/>
        <item x="80"/>
        <item x="166"/>
        <item x="117"/>
        <item x="4"/>
        <item x="40"/>
        <item x="230"/>
        <item x="275"/>
        <item x="196"/>
        <item x="24"/>
        <item x="1"/>
        <item x="219"/>
        <item x="17"/>
        <item x="212"/>
        <item x="112"/>
        <item x="234"/>
        <item x="198"/>
        <item x="224"/>
        <item x="242"/>
        <item x="116"/>
        <item x="27"/>
        <item x="95"/>
        <item x="20"/>
        <item x="0"/>
        <item x="168"/>
        <item x="134"/>
        <item x="86"/>
        <item x="120"/>
        <item x="249"/>
        <item x="133"/>
        <item x="245"/>
        <item x="201"/>
        <item x="170"/>
        <item x="78"/>
        <item x="77"/>
        <item x="215"/>
        <item x="180"/>
        <item x="183"/>
        <item x="149"/>
        <item x="9"/>
        <item x="271"/>
        <item x="68"/>
        <item x="97"/>
        <item x="252"/>
        <item x="54"/>
        <item x="76"/>
        <item x="161"/>
        <item x="94"/>
        <item x="58"/>
        <item x="60"/>
        <item x="26"/>
        <item x="172"/>
        <item x="2"/>
        <item x="55"/>
        <item x="96"/>
        <item x="174"/>
        <item x="81"/>
        <item x="253"/>
        <item x="18"/>
        <item x="105"/>
        <item x="39"/>
        <item x="287"/>
        <item x="35"/>
        <item x="118"/>
        <item x="187"/>
        <item x="38"/>
        <item x="241"/>
        <item x="216"/>
        <item x="231"/>
        <item x="176"/>
        <item x="144"/>
        <item x="227"/>
        <item x="15"/>
        <item x="142"/>
        <item x="165"/>
        <item x="244"/>
        <item x="151"/>
        <item x="204"/>
        <item x="130"/>
        <item x="211"/>
        <item x="14"/>
        <item x="195"/>
        <item x="23"/>
        <item x="63"/>
        <item x="32"/>
        <item x="281"/>
        <item x="16"/>
        <item x="255"/>
        <item x="214"/>
        <item x="25"/>
        <item x="181"/>
        <item x="175"/>
        <item x="160"/>
        <item x="273"/>
        <item x="162"/>
        <item x="246"/>
        <item x="61"/>
        <item x="182"/>
        <item x="192"/>
        <item x="12"/>
        <item x="43"/>
        <item x="83"/>
        <item x="108"/>
        <item x="158"/>
        <item x="277"/>
        <item x="64"/>
        <item x="88"/>
        <item x="51"/>
        <item x="188"/>
        <item x="107"/>
        <item x="109"/>
        <item x="113"/>
        <item x="102"/>
        <item x="184"/>
        <item x="85"/>
        <item x="56"/>
        <item x="98"/>
        <item x="193"/>
        <item x="90"/>
        <item x="274"/>
        <item x="199"/>
        <item x="223"/>
        <item x="239"/>
        <item x="262"/>
        <item x="250"/>
        <item x="209"/>
        <item x="128"/>
        <item x="106"/>
        <item x="29"/>
        <item x="52"/>
        <item x="129"/>
        <item x="115"/>
        <item x="46"/>
        <item x="62"/>
        <item x="75"/>
        <item x="100"/>
        <item x="101"/>
        <item x="248"/>
        <item x="200"/>
        <item x="147"/>
        <item x="186"/>
        <item x="74"/>
        <item x="280"/>
        <item x="257"/>
        <item x="132"/>
        <item x="233"/>
        <item x="72"/>
        <item x="123"/>
        <item x="45"/>
        <item x="205"/>
        <item x="264"/>
        <item x="263"/>
        <item x="114"/>
        <item x="213"/>
        <item x="104"/>
        <item x="87"/>
        <item x="110"/>
        <item x="167"/>
        <item x="30"/>
        <item x="57"/>
        <item x="220"/>
        <item x="91"/>
        <item x="226"/>
        <item x="278"/>
        <item x="48"/>
        <item x="258"/>
        <item x="232"/>
        <item x="111"/>
        <item x="218"/>
        <item x="122"/>
        <item x="53"/>
        <item x="173"/>
        <item x="266"/>
        <item x="270"/>
        <item x="259"/>
        <item x="179"/>
        <item x="103"/>
        <item x="260"/>
        <item x="73"/>
        <item x="157"/>
        <item x="71"/>
        <item x="282"/>
        <item x="50"/>
        <item x="7"/>
        <item x="194"/>
        <item x="139"/>
        <item x="254"/>
        <item x="283"/>
        <item x="221"/>
        <item x="164"/>
        <item x="285"/>
        <item x="286"/>
        <item x="153"/>
        <item x="21"/>
        <item x="202"/>
        <item x="272"/>
        <item x="228"/>
        <item x="92"/>
        <item x="143"/>
        <item x="156"/>
        <item x="148"/>
        <item x="238"/>
        <item x="251"/>
        <item x="66"/>
        <item x="125"/>
        <item x="8"/>
        <item x="28"/>
        <item x="229"/>
        <item x="237"/>
        <item x="208"/>
        <item x="36"/>
        <item x="37"/>
        <item x="6"/>
        <item x="31"/>
        <item x="169"/>
        <item x="3"/>
        <item x="34"/>
        <item x="82"/>
        <item x="124"/>
        <item x="279"/>
        <item x="269"/>
        <item x="70"/>
        <item x="217"/>
        <item x="261"/>
        <item x="152"/>
        <item x="137"/>
        <item x="197"/>
        <item x="44"/>
        <item x="177"/>
        <item x="265"/>
        <item x="150"/>
        <item x="65"/>
        <item x="207"/>
        <item x="67"/>
        <item x="159"/>
        <item x="191"/>
        <item x="13"/>
        <item x="119"/>
        <item x="49"/>
        <item x="5"/>
        <item x="138"/>
        <item x="203"/>
        <item x="163"/>
        <item x="47"/>
        <item x="256"/>
        <item x="276"/>
        <item x="41"/>
        <item x="235"/>
        <item x="240"/>
        <item x="136"/>
        <item x="126"/>
        <item x="89"/>
        <item t="default"/>
      </items>
    </pivotField>
    <pivotField dataField="1" showAll="0"/>
    <pivotField showAll="0"/>
    <pivotField showAll="0"/>
    <pivotField showAll="0"/>
    <pivotField showAll="0"/>
    <pivotField showAll="0"/>
    <pivotField showAll="0"/>
    <pivotField showAll="0"/>
    <pivotField showAll="0">
      <items count="9">
        <item x="3"/>
        <item x="5"/>
        <item x="1"/>
        <item x="2"/>
        <item x="0"/>
        <item x="6"/>
        <item x="4"/>
        <item x="7"/>
        <item t="default"/>
      </items>
    </pivotField>
  </pivotFields>
  <rowFields count="2">
    <field x="0"/>
    <field x="1"/>
  </rowFields>
  <rowItems count="21">
    <i>
      <x v="32"/>
    </i>
    <i r="1">
      <x v="46"/>
    </i>
    <i>
      <x v="148"/>
    </i>
    <i r="1">
      <x v="269"/>
    </i>
    <i>
      <x v="241"/>
    </i>
    <i r="1">
      <x v="270"/>
    </i>
    <i>
      <x v="92"/>
    </i>
    <i r="1">
      <x v="88"/>
    </i>
    <i>
      <x v="41"/>
    </i>
    <i r="1">
      <x v="40"/>
    </i>
    <i>
      <x v="123"/>
    </i>
    <i r="1">
      <x v="192"/>
    </i>
    <i>
      <x v="33"/>
    </i>
    <i r="1">
      <x v="30"/>
    </i>
    <i>
      <x v="158"/>
    </i>
    <i r="1">
      <x v="158"/>
    </i>
    <i>
      <x v="162"/>
    </i>
    <i r="1">
      <x v="272"/>
    </i>
    <i>
      <x v="13"/>
    </i>
    <i r="1">
      <x v="106"/>
    </i>
    <i t="grand">
      <x/>
    </i>
  </rowItems>
  <colItems count="1">
    <i/>
  </colItems>
  <dataFields count="1">
    <dataField name="Sum of Price (USD)" fld="2"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leaned_Data" connectionId="1" xr16:uid="{BC700A6A-1A48-4F7A-B2D8-EA7F92B18B32}" autoFormatId="16" applyNumberFormats="0" applyBorderFormats="0" applyFontFormats="0" applyPatternFormats="0" applyAlignmentFormats="0" applyWidthHeightFormats="0">
  <queryTableRefresh nextId="12" unboundColumnsRight="3">
    <queryTableFields count="11">
      <queryTableField id="1" name="Coin Name" tableColumnId="1"/>
      <queryTableField id="2" name="Symbol" tableColumnId="2"/>
      <queryTableField id="3" name="Price (USD)" tableColumnId="3"/>
      <queryTableField id="4" name="1h Change (%)" tableColumnId="4"/>
      <queryTableField id="5" name="Market Cap" tableColumnId="5"/>
      <queryTableField id="6" name="Volume (24h) USD" tableColumnId="6"/>
      <queryTableField id="7" name="Circulating Supply" tableColumnId="7"/>
      <queryTableField id="8" name="Circulating_Supply($)" tableColumnId="8"/>
      <queryTableField id="9" dataBound="0"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1505F4D3-897A-45C2-B610-5F85928B9593}" sourceName="Price Range">
  <pivotTables>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5" name="PivotTable4"/>
  </pivotTables>
  <data>
    <tabular pivotCacheId="418865803">
      <items count="8">
        <i x="3" s="1"/>
        <i x="5" s="1"/>
        <i x="1" s="1"/>
        <i x="2" s="1"/>
        <i x="0"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BCD7D1E1-FC3B-4518-9A67-DB7F2401B6F5}" cache="Slicer_Price_Range" caption="Price Ran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1" xr10:uid="{60CDB457-9B46-4B9C-BF50-062C165AA3D7}" cache="Slicer_Price_Range" caption="Price Rang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78314-AC68-4992-9E59-8602CF40F294}" name="Table2" displayName="Table2" ref="A1:G301" totalsRowShown="0" headerRowDxfId="5" headerRowBorderDxfId="4" tableBorderDxfId="3">
  <autoFilter ref="A1:G301" xr:uid="{6DA78314-AC68-4992-9E59-8602CF40F294}"/>
  <tableColumns count="7">
    <tableColumn id="1" xr3:uid="{ECC881D7-6510-4EB1-9F8A-D78FCA8BA850}" name="Coin Name"/>
    <tableColumn id="2" xr3:uid="{F7FD538D-8B7F-49ED-AA52-C75E22B9AD24}" name="Symbol"/>
    <tableColumn id="3" xr3:uid="{832B3B8C-91AC-4CE3-85B6-46AF1E7713F0}" name="Price (USD)"/>
    <tableColumn id="4" xr3:uid="{037264BC-6B99-48A6-8520-55E38FF10165}" name="1h Change (%)"/>
    <tableColumn id="5" xr3:uid="{86907FF0-3935-459D-B4C1-DF6C9E6496C8}" name="Market Cap"/>
    <tableColumn id="6" xr3:uid="{A01F09CA-F7D2-4F2C-B447-597D68D498B3}" name="Volume (24h) USD"/>
    <tableColumn id="7" xr3:uid="{C1622E7C-C72B-48C1-AAE6-B35D10B8F5F5}" name="Circulating Suppl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214CF-B30C-45FF-B5EA-458AADAA7FA2}" name="Table_Cleaned_Data" displayName="Table_Cleaned_Data" ref="A1:K290" tableType="queryTable" totalsRowShown="0">
  <autoFilter ref="A1:K290" xr:uid="{52C214CF-B30C-45FF-B5EA-458AADAA7FA2}"/>
  <tableColumns count="11">
    <tableColumn id="1" xr3:uid="{3EAD5038-4CF4-4B18-9BEC-50FBB06B2D82}" uniqueName="1" name="Coin Name" queryTableFieldId="1"/>
    <tableColumn id="2" xr3:uid="{DE93663D-064E-4828-8F89-58DAF87DC243}" uniqueName="2" name="Symbol" queryTableFieldId="2"/>
    <tableColumn id="3" xr3:uid="{604CCF1C-BA57-438E-80DD-34FB851541D8}" uniqueName="3" name="Price (USD)" queryTableFieldId="3"/>
    <tableColumn id="4" xr3:uid="{A6A6CD2E-AADC-4DAD-AD88-08EAF109DED3}" uniqueName="4" name="1h Change (%)" queryTableFieldId="4"/>
    <tableColumn id="5" xr3:uid="{0ED52AA7-74A4-4239-832F-D59E42AA22D2}" uniqueName="5" name="Market Cap" queryTableFieldId="5"/>
    <tableColumn id="6" xr3:uid="{7447D28C-0039-4E85-B4EA-FB6DDE4B17FA}" uniqueName="6" name="Volume (24h) USD" queryTableFieldId="6"/>
    <tableColumn id="7" xr3:uid="{97D91DEA-9510-469B-83E5-3AFBA49AE16C}" uniqueName="7" name="Circulating Supply" queryTableFieldId="7"/>
    <tableColumn id="8" xr3:uid="{D0385ACF-88FA-4EFC-A7F9-7D1127A59245}" uniqueName="8" name="Circulating_Supply($)" queryTableFieldId="8"/>
    <tableColumn id="9" xr3:uid="{2ED3FA3C-AA97-4CFB-95DC-38FEF09D6C4A}" uniqueName="9" name="DollarVolume per Supply" queryTableFieldId="9" dataDxfId="2">
      <calculatedColumnFormula>Table_Cleaned_Data[[#This Row],[Volume (24h) USD]]/Table_Cleaned_Data[[#This Row],[Circulating_Supply($)]]</calculatedColumnFormula>
    </tableColumn>
    <tableColumn id="10" xr3:uid="{AF0B1465-FE33-4274-A0B8-AF89350BD5C5}" uniqueName="10" name="RANK" queryTableFieldId="10" dataDxfId="1">
      <calculatedColumnFormula>RANK(Table_Cleaned_Data[[#This Row],[Market Cap]],Table_Cleaned_Data[Market Cap],0)</calculatedColumnFormula>
    </tableColumn>
    <tableColumn id="11" xr3:uid="{DCF50B0A-158A-43D6-AF1A-BA02BE2192DC}" uniqueName="11" name="Price Range" queryTableFieldId="11" dataDxfId="0">
      <calculatedColumnFormula>IF(C2&lt;=0.5,"0–0.5",
IF(C2&lt;=1,"0.5–1",
IF(C2&lt;=2,"1–2",
IF(C2&lt;=10,"2–10",
IF(C2&lt;=100,"10–100",
IF(C2&lt;=1000,"100–1000",
IF(C2&lt;=10000,"1000–10000",
"10000+")))))))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64EED6-F0FD-4D9B-A5AF-C198D8CFCCCA}" name="Table4" displayName="Table4" ref="O11:P17" totalsRowShown="0">
  <autoFilter ref="O11:P17" xr:uid="{FD64EED6-F0FD-4D9B-A5AF-C198D8CFCCCA}"/>
  <tableColumns count="2">
    <tableColumn id="1" xr3:uid="{CFAB1850-6B7F-4581-B7FB-3BFE35FF5E79}" name="Coin Name"/>
    <tableColumn id="2" xr3:uid="{D2D36CF2-BA6A-4C47-9F21-20C3882C6ADC}" name="Sum of Market Ca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workbookViewId="0">
      <pane ySplit="1" topLeftCell="A2" activePane="bottomLeft" state="frozen"/>
      <selection pane="bottomLeft" activeCell="I291" sqref="I291"/>
    </sheetView>
  </sheetViews>
  <sheetFormatPr defaultRowHeight="14.5" x14ac:dyDescent="0.35"/>
  <cols>
    <col min="1" max="1" width="46.1796875" bestFit="1" customWidth="1"/>
    <col min="2" max="2" width="9.54296875" bestFit="1" customWidth="1"/>
    <col min="3" max="3" width="12.08984375" customWidth="1"/>
    <col min="4" max="4" width="14.7265625" customWidth="1"/>
    <col min="5" max="5" width="16.7265625" bestFit="1" customWidth="1"/>
    <col min="6" max="6" width="18" customWidth="1"/>
    <col min="7" max="7" width="17.63281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19</v>
      </c>
      <c r="G3" t="s">
        <v>20</v>
      </c>
    </row>
    <row r="4" spans="1:7" x14ac:dyDescent="0.35">
      <c r="A4" t="s">
        <v>21</v>
      </c>
      <c r="B4" t="s">
        <v>22</v>
      </c>
      <c r="C4" t="s">
        <v>23</v>
      </c>
      <c r="D4" t="s">
        <v>24</v>
      </c>
      <c r="E4" t="s">
        <v>25</v>
      </c>
      <c r="F4" t="s">
        <v>26</v>
      </c>
      <c r="G4" t="s">
        <v>27</v>
      </c>
    </row>
    <row r="5" spans="1:7" x14ac:dyDescent="0.35">
      <c r="A5" t="s">
        <v>28</v>
      </c>
      <c r="B5" t="s">
        <v>29</v>
      </c>
      <c r="C5" t="s">
        <v>30</v>
      </c>
      <c r="D5" t="s">
        <v>31</v>
      </c>
      <c r="E5" t="s">
        <v>32</v>
      </c>
      <c r="F5" t="s">
        <v>33</v>
      </c>
      <c r="G5" t="s">
        <v>34</v>
      </c>
    </row>
    <row r="6" spans="1:7" x14ac:dyDescent="0.35">
      <c r="A6" t="s">
        <v>35</v>
      </c>
      <c r="B6" t="s">
        <v>35</v>
      </c>
      <c r="C6" t="s">
        <v>36</v>
      </c>
      <c r="D6" t="s">
        <v>37</v>
      </c>
      <c r="E6" t="s">
        <v>38</v>
      </c>
      <c r="F6" t="s">
        <v>39</v>
      </c>
      <c r="G6" t="s">
        <v>40</v>
      </c>
    </row>
    <row r="7" spans="1:7" x14ac:dyDescent="0.35">
      <c r="A7" t="s">
        <v>41</v>
      </c>
      <c r="B7" t="s">
        <v>41</v>
      </c>
      <c r="C7" t="s">
        <v>42</v>
      </c>
      <c r="D7" t="s">
        <v>43</v>
      </c>
      <c r="E7" t="s">
        <v>44</v>
      </c>
      <c r="F7" t="s">
        <v>45</v>
      </c>
      <c r="G7" t="s">
        <v>46</v>
      </c>
    </row>
    <row r="8" spans="1:7" x14ac:dyDescent="0.35">
      <c r="A8" t="s">
        <v>47</v>
      </c>
      <c r="B8" t="s">
        <v>47</v>
      </c>
      <c r="C8" t="s">
        <v>48</v>
      </c>
      <c r="D8" t="s">
        <v>49</v>
      </c>
      <c r="E8" t="s">
        <v>50</v>
      </c>
      <c r="F8" t="s">
        <v>51</v>
      </c>
      <c r="G8" t="s">
        <v>52</v>
      </c>
    </row>
    <row r="9" spans="1:7" x14ac:dyDescent="0.35">
      <c r="A9" t="s">
        <v>53</v>
      </c>
      <c r="B9" t="s">
        <v>54</v>
      </c>
      <c r="C9" t="s">
        <v>55</v>
      </c>
      <c r="D9" t="s">
        <v>56</v>
      </c>
      <c r="E9" t="s">
        <v>57</v>
      </c>
      <c r="F9" t="s">
        <v>58</v>
      </c>
      <c r="G9" t="s">
        <v>59</v>
      </c>
    </row>
    <row r="10" spans="1:7" x14ac:dyDescent="0.35">
      <c r="A10" t="s">
        <v>60</v>
      </c>
      <c r="B10" t="s">
        <v>61</v>
      </c>
      <c r="C10" t="s">
        <v>62</v>
      </c>
      <c r="D10" t="s">
        <v>24</v>
      </c>
      <c r="E10" t="s">
        <v>63</v>
      </c>
      <c r="F10" t="s">
        <v>64</v>
      </c>
      <c r="G10" t="s">
        <v>65</v>
      </c>
    </row>
    <row r="11" spans="1:7" x14ac:dyDescent="0.35">
      <c r="A11" t="s">
        <v>66</v>
      </c>
      <c r="B11" t="s">
        <v>67</v>
      </c>
      <c r="C11" t="s">
        <v>68</v>
      </c>
      <c r="D11" t="s">
        <v>69</v>
      </c>
      <c r="E11" t="s">
        <v>70</v>
      </c>
      <c r="F11" t="s">
        <v>71</v>
      </c>
      <c r="G11" t="s">
        <v>72</v>
      </c>
    </row>
    <row r="12" spans="1:7" x14ac:dyDescent="0.35">
      <c r="A12" t="s">
        <v>73</v>
      </c>
      <c r="B12" t="s">
        <v>74</v>
      </c>
      <c r="C12" t="s">
        <v>75</v>
      </c>
      <c r="D12" t="s">
        <v>76</v>
      </c>
      <c r="E12" t="s">
        <v>77</v>
      </c>
      <c r="F12" t="s">
        <v>78</v>
      </c>
      <c r="G12" t="s">
        <v>79</v>
      </c>
    </row>
    <row r="13" spans="1:7" x14ac:dyDescent="0.35">
      <c r="A13" t="s">
        <v>80</v>
      </c>
      <c r="B13" t="s">
        <v>81</v>
      </c>
      <c r="C13" t="s">
        <v>82</v>
      </c>
      <c r="D13" t="s">
        <v>83</v>
      </c>
      <c r="E13" t="s">
        <v>84</v>
      </c>
      <c r="F13" t="s">
        <v>85</v>
      </c>
      <c r="G13" t="s">
        <v>20</v>
      </c>
    </row>
    <row r="14" spans="1:7" x14ac:dyDescent="0.35">
      <c r="A14" t="s">
        <v>86</v>
      </c>
      <c r="B14" t="s">
        <v>87</v>
      </c>
      <c r="C14" t="s">
        <v>88</v>
      </c>
      <c r="D14" t="s">
        <v>89</v>
      </c>
      <c r="E14" t="s">
        <v>90</v>
      </c>
      <c r="F14" t="s">
        <v>91</v>
      </c>
      <c r="G14" t="s">
        <v>92</v>
      </c>
    </row>
    <row r="15" spans="1:7" x14ac:dyDescent="0.35">
      <c r="A15" t="s">
        <v>93</v>
      </c>
      <c r="B15" t="s">
        <v>94</v>
      </c>
      <c r="C15" t="s">
        <v>95</v>
      </c>
      <c r="D15" t="s">
        <v>96</v>
      </c>
      <c r="E15" t="s">
        <v>97</v>
      </c>
      <c r="F15" t="s">
        <v>98</v>
      </c>
      <c r="G15" t="s">
        <v>99</v>
      </c>
    </row>
    <row r="16" spans="1:7" x14ac:dyDescent="0.35">
      <c r="A16" t="s">
        <v>100</v>
      </c>
      <c r="B16" t="s">
        <v>101</v>
      </c>
      <c r="C16" t="s">
        <v>102</v>
      </c>
      <c r="D16" t="s">
        <v>103</v>
      </c>
      <c r="E16" t="s">
        <v>104</v>
      </c>
      <c r="F16" t="s">
        <v>105</v>
      </c>
      <c r="G16" t="s">
        <v>106</v>
      </c>
    </row>
    <row r="17" spans="1:7" x14ac:dyDescent="0.35">
      <c r="A17" t="s">
        <v>107</v>
      </c>
      <c r="B17" t="s">
        <v>108</v>
      </c>
      <c r="C17" t="s">
        <v>109</v>
      </c>
      <c r="D17" t="s">
        <v>89</v>
      </c>
      <c r="E17" t="s">
        <v>110</v>
      </c>
      <c r="F17" t="s">
        <v>111</v>
      </c>
      <c r="G17" t="s">
        <v>112</v>
      </c>
    </row>
    <row r="18" spans="1:7" x14ac:dyDescent="0.35">
      <c r="A18" t="s">
        <v>113</v>
      </c>
      <c r="B18" t="s">
        <v>114</v>
      </c>
      <c r="C18" t="s">
        <v>115</v>
      </c>
      <c r="D18" t="s">
        <v>116</v>
      </c>
      <c r="E18" t="s">
        <v>117</v>
      </c>
      <c r="F18" t="s">
        <v>118</v>
      </c>
      <c r="G18" t="s">
        <v>119</v>
      </c>
    </row>
    <row r="19" spans="1:7" x14ac:dyDescent="0.35">
      <c r="A19" t="s">
        <v>120</v>
      </c>
      <c r="B19" t="s">
        <v>121</v>
      </c>
      <c r="C19" t="s">
        <v>122</v>
      </c>
      <c r="D19" t="s">
        <v>123</v>
      </c>
      <c r="E19" t="s">
        <v>124</v>
      </c>
      <c r="F19" t="s">
        <v>125</v>
      </c>
      <c r="G19" t="s">
        <v>126</v>
      </c>
    </row>
    <row r="20" spans="1:7" x14ac:dyDescent="0.35">
      <c r="A20" t="s">
        <v>127</v>
      </c>
      <c r="B20" t="s">
        <v>127</v>
      </c>
      <c r="C20" t="s">
        <v>128</v>
      </c>
      <c r="D20" t="s">
        <v>129</v>
      </c>
      <c r="E20" t="s">
        <v>130</v>
      </c>
      <c r="F20" t="s">
        <v>131</v>
      </c>
      <c r="G20" t="s">
        <v>132</v>
      </c>
    </row>
    <row r="21" spans="1:7" x14ac:dyDescent="0.35">
      <c r="A21" t="s">
        <v>133</v>
      </c>
      <c r="B21" t="s">
        <v>134</v>
      </c>
      <c r="C21" t="s">
        <v>135</v>
      </c>
      <c r="D21" t="s">
        <v>136</v>
      </c>
      <c r="E21" t="s">
        <v>137</v>
      </c>
      <c r="F21" t="s">
        <v>138</v>
      </c>
      <c r="G21" t="s">
        <v>139</v>
      </c>
    </row>
    <row r="22" spans="1:7" x14ac:dyDescent="0.35">
      <c r="A22" t="s">
        <v>140</v>
      </c>
      <c r="B22" t="s">
        <v>141</v>
      </c>
      <c r="C22" t="s">
        <v>142</v>
      </c>
      <c r="D22" t="s">
        <v>143</v>
      </c>
      <c r="E22" t="s">
        <v>144</v>
      </c>
      <c r="F22" t="s">
        <v>145</v>
      </c>
      <c r="G22" t="s">
        <v>146</v>
      </c>
    </row>
    <row r="23" spans="1:7" x14ac:dyDescent="0.35">
      <c r="A23" t="s">
        <v>147</v>
      </c>
      <c r="B23" t="s">
        <v>148</v>
      </c>
      <c r="C23" t="s">
        <v>149</v>
      </c>
      <c r="D23" t="s">
        <v>150</v>
      </c>
      <c r="E23" t="s">
        <v>151</v>
      </c>
      <c r="F23" t="s">
        <v>152</v>
      </c>
      <c r="G23" t="s">
        <v>153</v>
      </c>
    </row>
    <row r="24" spans="1:7" x14ac:dyDescent="0.35">
      <c r="A24" t="s">
        <v>154</v>
      </c>
      <c r="B24" t="s">
        <v>155</v>
      </c>
      <c r="C24" t="s">
        <v>156</v>
      </c>
      <c r="D24" t="s">
        <v>157</v>
      </c>
      <c r="E24" t="s">
        <v>158</v>
      </c>
      <c r="F24" t="s">
        <v>159</v>
      </c>
      <c r="G24" t="s">
        <v>160</v>
      </c>
    </row>
    <row r="25" spans="1:7" x14ac:dyDescent="0.35">
      <c r="A25" t="s">
        <v>161</v>
      </c>
      <c r="B25" t="s">
        <v>161</v>
      </c>
      <c r="C25" t="s">
        <v>162</v>
      </c>
      <c r="D25" t="s">
        <v>69</v>
      </c>
      <c r="E25" t="s">
        <v>163</v>
      </c>
      <c r="F25" t="s">
        <v>164</v>
      </c>
      <c r="G25" t="s">
        <v>165</v>
      </c>
    </row>
    <row r="26" spans="1:7" x14ac:dyDescent="0.35">
      <c r="A26" t="s">
        <v>166</v>
      </c>
      <c r="B26" t="s">
        <v>167</v>
      </c>
      <c r="C26" t="s">
        <v>168</v>
      </c>
      <c r="D26" t="s">
        <v>169</v>
      </c>
      <c r="E26" t="s">
        <v>170</v>
      </c>
      <c r="F26" t="s">
        <v>171</v>
      </c>
      <c r="G26" t="s">
        <v>20</v>
      </c>
    </row>
    <row r="27" spans="1:7" x14ac:dyDescent="0.35">
      <c r="A27" t="s">
        <v>172</v>
      </c>
      <c r="B27" t="s">
        <v>173</v>
      </c>
      <c r="C27" t="s">
        <v>174</v>
      </c>
      <c r="D27" t="s">
        <v>83</v>
      </c>
      <c r="E27" t="s">
        <v>175</v>
      </c>
      <c r="F27" t="s">
        <v>176</v>
      </c>
      <c r="G27" t="s">
        <v>177</v>
      </c>
    </row>
    <row r="28" spans="1:7" x14ac:dyDescent="0.35">
      <c r="A28" t="s">
        <v>178</v>
      </c>
      <c r="B28" t="s">
        <v>179</v>
      </c>
      <c r="C28" t="s">
        <v>180</v>
      </c>
      <c r="D28" t="s">
        <v>181</v>
      </c>
      <c r="E28" t="s">
        <v>182</v>
      </c>
      <c r="F28" t="s">
        <v>183</v>
      </c>
      <c r="G28" t="s">
        <v>184</v>
      </c>
    </row>
    <row r="29" spans="1:7" x14ac:dyDescent="0.35">
      <c r="A29" t="s">
        <v>185</v>
      </c>
      <c r="B29" t="s">
        <v>186</v>
      </c>
      <c r="C29" t="s">
        <v>187</v>
      </c>
      <c r="D29" t="s">
        <v>188</v>
      </c>
      <c r="E29" t="s">
        <v>189</v>
      </c>
      <c r="F29" t="s">
        <v>190</v>
      </c>
      <c r="G29" t="s">
        <v>191</v>
      </c>
    </row>
    <row r="30" spans="1:7" x14ac:dyDescent="0.35">
      <c r="A30" t="s">
        <v>192</v>
      </c>
      <c r="B30" t="s">
        <v>193</v>
      </c>
      <c r="C30" t="s">
        <v>194</v>
      </c>
      <c r="D30" t="s">
        <v>195</v>
      </c>
      <c r="E30" t="s">
        <v>196</v>
      </c>
      <c r="F30" t="s">
        <v>197</v>
      </c>
      <c r="G30" t="s">
        <v>198</v>
      </c>
    </row>
    <row r="31" spans="1:7" x14ac:dyDescent="0.35">
      <c r="A31" t="s">
        <v>199</v>
      </c>
      <c r="B31" t="s">
        <v>200</v>
      </c>
      <c r="C31" t="s">
        <v>201</v>
      </c>
      <c r="D31" t="s">
        <v>83</v>
      </c>
      <c r="E31" t="s">
        <v>202</v>
      </c>
      <c r="F31" t="s">
        <v>203</v>
      </c>
      <c r="G31" t="s">
        <v>204</v>
      </c>
    </row>
    <row r="32" spans="1:7" x14ac:dyDescent="0.35">
      <c r="A32" t="s">
        <v>205</v>
      </c>
      <c r="B32" t="s">
        <v>206</v>
      </c>
      <c r="C32" t="s">
        <v>207</v>
      </c>
      <c r="D32" t="s">
        <v>24</v>
      </c>
      <c r="E32" t="s">
        <v>208</v>
      </c>
      <c r="F32" t="s">
        <v>209</v>
      </c>
      <c r="G32" t="s">
        <v>210</v>
      </c>
    </row>
    <row r="33" spans="1:7" x14ac:dyDescent="0.35">
      <c r="A33" t="s">
        <v>211</v>
      </c>
      <c r="B33" t="s">
        <v>212</v>
      </c>
      <c r="C33" t="s">
        <v>213</v>
      </c>
      <c r="D33" t="s">
        <v>10</v>
      </c>
      <c r="E33" t="s">
        <v>214</v>
      </c>
      <c r="F33" t="s">
        <v>215</v>
      </c>
      <c r="G33" t="s">
        <v>216</v>
      </c>
    </row>
    <row r="34" spans="1:7" x14ac:dyDescent="0.35">
      <c r="A34" t="s">
        <v>217</v>
      </c>
      <c r="B34" t="s">
        <v>218</v>
      </c>
      <c r="C34" t="s">
        <v>219</v>
      </c>
      <c r="D34" t="s">
        <v>220</v>
      </c>
      <c r="E34" t="s">
        <v>221</v>
      </c>
      <c r="F34" t="s">
        <v>222</v>
      </c>
      <c r="G34" t="s">
        <v>223</v>
      </c>
    </row>
    <row r="35" spans="1:7" x14ac:dyDescent="0.35">
      <c r="A35" t="s">
        <v>224</v>
      </c>
      <c r="B35" t="s">
        <v>225</v>
      </c>
      <c r="C35" t="s">
        <v>226</v>
      </c>
      <c r="D35" t="s">
        <v>227</v>
      </c>
      <c r="E35" t="s">
        <v>228</v>
      </c>
      <c r="F35" t="s">
        <v>229</v>
      </c>
      <c r="G35" t="s">
        <v>230</v>
      </c>
    </row>
    <row r="36" spans="1:7" x14ac:dyDescent="0.35">
      <c r="A36" t="s">
        <v>231</v>
      </c>
      <c r="B36" t="s">
        <v>232</v>
      </c>
      <c r="C36" t="s">
        <v>233</v>
      </c>
      <c r="D36" t="s">
        <v>49</v>
      </c>
      <c r="E36" t="s">
        <v>234</v>
      </c>
      <c r="F36" t="s">
        <v>235</v>
      </c>
      <c r="G36" t="s">
        <v>236</v>
      </c>
    </row>
    <row r="37" spans="1:7" x14ac:dyDescent="0.35">
      <c r="A37" t="s">
        <v>237</v>
      </c>
      <c r="B37" t="s">
        <v>238</v>
      </c>
      <c r="C37" t="s">
        <v>239</v>
      </c>
      <c r="D37" t="s">
        <v>49</v>
      </c>
      <c r="E37" t="s">
        <v>240</v>
      </c>
      <c r="F37" t="s">
        <v>241</v>
      </c>
      <c r="G37" t="s">
        <v>242</v>
      </c>
    </row>
    <row r="38" spans="1:7" x14ac:dyDescent="0.35">
      <c r="A38" t="s">
        <v>243</v>
      </c>
      <c r="B38" t="s">
        <v>244</v>
      </c>
      <c r="C38" t="s">
        <v>245</v>
      </c>
      <c r="D38" t="s">
        <v>31</v>
      </c>
      <c r="E38" t="s">
        <v>246</v>
      </c>
      <c r="F38" t="s">
        <v>247</v>
      </c>
      <c r="G38" t="s">
        <v>248</v>
      </c>
    </row>
    <row r="39" spans="1:7" x14ac:dyDescent="0.35">
      <c r="A39" t="s">
        <v>249</v>
      </c>
      <c r="B39" t="s">
        <v>250</v>
      </c>
      <c r="C39" t="s">
        <v>251</v>
      </c>
      <c r="D39" t="s">
        <v>31</v>
      </c>
      <c r="E39" t="s">
        <v>252</v>
      </c>
      <c r="F39" t="s">
        <v>253</v>
      </c>
      <c r="G39" t="s">
        <v>254</v>
      </c>
    </row>
    <row r="40" spans="1:7" x14ac:dyDescent="0.35">
      <c r="A40" t="s">
        <v>255</v>
      </c>
      <c r="B40" t="s">
        <v>255</v>
      </c>
      <c r="C40" t="s">
        <v>256</v>
      </c>
      <c r="D40" t="s">
        <v>257</v>
      </c>
      <c r="E40" t="s">
        <v>258</v>
      </c>
      <c r="F40" t="s">
        <v>259</v>
      </c>
      <c r="G40" t="s">
        <v>260</v>
      </c>
    </row>
    <row r="41" spans="1:7" x14ac:dyDescent="0.35">
      <c r="A41" t="s">
        <v>261</v>
      </c>
      <c r="B41" t="s">
        <v>262</v>
      </c>
      <c r="C41" t="s">
        <v>263</v>
      </c>
      <c r="D41" t="s">
        <v>116</v>
      </c>
      <c r="E41" t="s">
        <v>264</v>
      </c>
      <c r="F41" t="s">
        <v>265</v>
      </c>
      <c r="G41" t="s">
        <v>266</v>
      </c>
    </row>
    <row r="42" spans="1:7" x14ac:dyDescent="0.35">
      <c r="A42" t="s">
        <v>267</v>
      </c>
      <c r="B42" t="s">
        <v>268</v>
      </c>
      <c r="C42" t="s">
        <v>269</v>
      </c>
      <c r="D42" t="s">
        <v>31</v>
      </c>
      <c r="E42" t="s">
        <v>270</v>
      </c>
      <c r="F42" t="s">
        <v>271</v>
      </c>
      <c r="G42" t="s">
        <v>272</v>
      </c>
    </row>
    <row r="43" spans="1:7" x14ac:dyDescent="0.35">
      <c r="A43" t="s">
        <v>273</v>
      </c>
      <c r="B43" t="s">
        <v>274</v>
      </c>
      <c r="C43" t="s">
        <v>275</v>
      </c>
      <c r="D43" t="s">
        <v>257</v>
      </c>
      <c r="E43" t="s">
        <v>276</v>
      </c>
      <c r="F43" t="s">
        <v>277</v>
      </c>
      <c r="G43" t="s">
        <v>278</v>
      </c>
    </row>
    <row r="44" spans="1:7" x14ac:dyDescent="0.35">
      <c r="A44" t="s">
        <v>279</v>
      </c>
      <c r="B44" t="s">
        <v>280</v>
      </c>
      <c r="C44" t="s">
        <v>281</v>
      </c>
      <c r="D44" t="s">
        <v>282</v>
      </c>
      <c r="E44" t="s">
        <v>283</v>
      </c>
      <c r="F44" t="s">
        <v>284</v>
      </c>
      <c r="G44" t="s">
        <v>285</v>
      </c>
    </row>
    <row r="45" spans="1:7" x14ac:dyDescent="0.35">
      <c r="A45" t="s">
        <v>286</v>
      </c>
      <c r="B45" t="s">
        <v>287</v>
      </c>
      <c r="C45" t="s">
        <v>288</v>
      </c>
      <c r="D45" t="s">
        <v>257</v>
      </c>
      <c r="E45" t="s">
        <v>289</v>
      </c>
      <c r="F45" t="s">
        <v>290</v>
      </c>
      <c r="G45" t="s">
        <v>291</v>
      </c>
    </row>
    <row r="46" spans="1:7" x14ac:dyDescent="0.35">
      <c r="A46" t="s">
        <v>292</v>
      </c>
      <c r="B46" t="s">
        <v>293</v>
      </c>
      <c r="C46" t="s">
        <v>294</v>
      </c>
      <c r="D46" t="s">
        <v>295</v>
      </c>
      <c r="E46" t="s">
        <v>296</v>
      </c>
      <c r="F46" t="s">
        <v>297</v>
      </c>
      <c r="G46" t="s">
        <v>298</v>
      </c>
    </row>
    <row r="47" spans="1:7" x14ac:dyDescent="0.35">
      <c r="A47" t="s">
        <v>299</v>
      </c>
      <c r="B47" t="s">
        <v>300</v>
      </c>
      <c r="C47" t="s">
        <v>301</v>
      </c>
      <c r="D47" t="s">
        <v>302</v>
      </c>
      <c r="E47" t="s">
        <v>303</v>
      </c>
      <c r="F47" t="s">
        <v>304</v>
      </c>
      <c r="G47" t="s">
        <v>305</v>
      </c>
    </row>
    <row r="48" spans="1:7" x14ac:dyDescent="0.35">
      <c r="A48" t="s">
        <v>306</v>
      </c>
      <c r="B48" t="s">
        <v>307</v>
      </c>
      <c r="C48" t="s">
        <v>308</v>
      </c>
      <c r="D48" t="s">
        <v>309</v>
      </c>
      <c r="E48" t="s">
        <v>310</v>
      </c>
      <c r="F48" t="s">
        <v>311</v>
      </c>
      <c r="G48" t="s">
        <v>153</v>
      </c>
    </row>
    <row r="49" spans="1:7" x14ac:dyDescent="0.35">
      <c r="A49" t="s">
        <v>312</v>
      </c>
      <c r="B49" t="s">
        <v>313</v>
      </c>
      <c r="C49" t="s">
        <v>314</v>
      </c>
      <c r="D49" t="s">
        <v>315</v>
      </c>
      <c r="E49" t="s">
        <v>316</v>
      </c>
      <c r="F49" t="s">
        <v>317</v>
      </c>
      <c r="G49" t="s">
        <v>318</v>
      </c>
    </row>
    <row r="50" spans="1:7" x14ac:dyDescent="0.35">
      <c r="A50" t="s">
        <v>319</v>
      </c>
      <c r="B50" t="s">
        <v>320</v>
      </c>
      <c r="C50" t="s">
        <v>321</v>
      </c>
      <c r="D50" t="s">
        <v>322</v>
      </c>
      <c r="E50" t="s">
        <v>323</v>
      </c>
      <c r="F50" t="s">
        <v>324</v>
      </c>
      <c r="G50" t="s">
        <v>325</v>
      </c>
    </row>
    <row r="51" spans="1:7" x14ac:dyDescent="0.35">
      <c r="A51" t="s">
        <v>326</v>
      </c>
      <c r="B51" t="s">
        <v>327</v>
      </c>
      <c r="C51" t="s">
        <v>328</v>
      </c>
      <c r="D51" t="s">
        <v>329</v>
      </c>
      <c r="E51" t="s">
        <v>330</v>
      </c>
      <c r="F51" t="s">
        <v>331</v>
      </c>
      <c r="G51" t="s">
        <v>332</v>
      </c>
    </row>
    <row r="52" spans="1:7" x14ac:dyDescent="0.35">
      <c r="A52" t="s">
        <v>333</v>
      </c>
      <c r="B52" t="s">
        <v>334</v>
      </c>
      <c r="C52" t="s">
        <v>335</v>
      </c>
      <c r="D52" t="s">
        <v>336</v>
      </c>
      <c r="E52" t="s">
        <v>337</v>
      </c>
      <c r="F52" t="s">
        <v>338</v>
      </c>
      <c r="G52" t="s">
        <v>339</v>
      </c>
    </row>
    <row r="53" spans="1:7" x14ac:dyDescent="0.35">
      <c r="A53" t="s">
        <v>340</v>
      </c>
      <c r="B53" t="s">
        <v>341</v>
      </c>
      <c r="C53" t="s">
        <v>342</v>
      </c>
      <c r="D53" t="s">
        <v>343</v>
      </c>
      <c r="E53" t="s">
        <v>344</v>
      </c>
      <c r="F53" t="s">
        <v>345</v>
      </c>
      <c r="G53" t="s">
        <v>346</v>
      </c>
    </row>
    <row r="54" spans="1:7" x14ac:dyDescent="0.35">
      <c r="A54" t="s">
        <v>347</v>
      </c>
      <c r="B54" t="s">
        <v>348</v>
      </c>
      <c r="C54" t="s">
        <v>349</v>
      </c>
      <c r="D54" t="s">
        <v>350</v>
      </c>
      <c r="E54" t="s">
        <v>351</v>
      </c>
      <c r="F54" t="s">
        <v>352</v>
      </c>
      <c r="G54" t="s">
        <v>353</v>
      </c>
    </row>
    <row r="55" spans="1:7" x14ac:dyDescent="0.35">
      <c r="A55" t="s">
        <v>354</v>
      </c>
      <c r="B55" t="s">
        <v>355</v>
      </c>
      <c r="C55" t="s">
        <v>356</v>
      </c>
      <c r="D55" t="s">
        <v>357</v>
      </c>
      <c r="E55" t="s">
        <v>358</v>
      </c>
      <c r="F55" t="s">
        <v>359</v>
      </c>
      <c r="G55" t="s">
        <v>360</v>
      </c>
    </row>
    <row r="56" spans="1:7" x14ac:dyDescent="0.35">
      <c r="A56" t="s">
        <v>361</v>
      </c>
      <c r="B56" t="s">
        <v>362</v>
      </c>
      <c r="C56" t="s">
        <v>363</v>
      </c>
      <c r="D56" t="s">
        <v>364</v>
      </c>
      <c r="E56" t="s">
        <v>365</v>
      </c>
      <c r="F56" t="s">
        <v>366</v>
      </c>
      <c r="G56" t="s">
        <v>367</v>
      </c>
    </row>
    <row r="57" spans="1:7" x14ac:dyDescent="0.35">
      <c r="A57" t="s">
        <v>368</v>
      </c>
      <c r="B57" t="s">
        <v>369</v>
      </c>
      <c r="C57" t="s">
        <v>370</v>
      </c>
      <c r="D57" t="s">
        <v>31</v>
      </c>
      <c r="E57" t="s">
        <v>371</v>
      </c>
      <c r="F57" t="s">
        <v>372</v>
      </c>
      <c r="G57" t="s">
        <v>373</v>
      </c>
    </row>
    <row r="58" spans="1:7" x14ac:dyDescent="0.35">
      <c r="A58" t="s">
        <v>374</v>
      </c>
      <c r="B58" t="s">
        <v>375</v>
      </c>
      <c r="C58" t="s">
        <v>376</v>
      </c>
      <c r="D58" t="s">
        <v>377</v>
      </c>
      <c r="E58" t="s">
        <v>378</v>
      </c>
      <c r="F58" t="s">
        <v>379</v>
      </c>
      <c r="G58" t="s">
        <v>380</v>
      </c>
    </row>
    <row r="59" spans="1:7" x14ac:dyDescent="0.35">
      <c r="A59" t="s">
        <v>381</v>
      </c>
      <c r="B59" t="s">
        <v>382</v>
      </c>
      <c r="C59" t="s">
        <v>383</v>
      </c>
      <c r="D59" t="s">
        <v>49</v>
      </c>
      <c r="E59" t="s">
        <v>384</v>
      </c>
      <c r="F59" t="s">
        <v>385</v>
      </c>
      <c r="G59" t="s">
        <v>386</v>
      </c>
    </row>
    <row r="60" spans="1:7" x14ac:dyDescent="0.35">
      <c r="A60" t="s">
        <v>387</v>
      </c>
      <c r="B60" t="s">
        <v>388</v>
      </c>
      <c r="C60" t="s">
        <v>389</v>
      </c>
      <c r="D60" t="s">
        <v>390</v>
      </c>
      <c r="E60" t="s">
        <v>391</v>
      </c>
      <c r="F60" t="s">
        <v>392</v>
      </c>
      <c r="G60" t="s">
        <v>393</v>
      </c>
    </row>
    <row r="61" spans="1:7" x14ac:dyDescent="0.35">
      <c r="A61" t="s">
        <v>394</v>
      </c>
      <c r="B61" t="s">
        <v>395</v>
      </c>
      <c r="C61" t="s">
        <v>396</v>
      </c>
      <c r="D61" t="s">
        <v>397</v>
      </c>
      <c r="E61" t="s">
        <v>398</v>
      </c>
      <c r="F61" t="s">
        <v>399</v>
      </c>
      <c r="G61" t="s">
        <v>400</v>
      </c>
    </row>
    <row r="62" spans="1:7" x14ac:dyDescent="0.35">
      <c r="A62" t="s">
        <v>401</v>
      </c>
      <c r="B62" t="s">
        <v>402</v>
      </c>
      <c r="C62" t="s">
        <v>403</v>
      </c>
      <c r="D62" t="s">
        <v>404</v>
      </c>
      <c r="E62" t="s">
        <v>405</v>
      </c>
      <c r="F62" t="s">
        <v>406</v>
      </c>
      <c r="G62" t="s">
        <v>407</v>
      </c>
    </row>
    <row r="63" spans="1:7" x14ac:dyDescent="0.35">
      <c r="A63" t="s">
        <v>408</v>
      </c>
      <c r="B63" t="s">
        <v>409</v>
      </c>
      <c r="C63" t="s">
        <v>410</v>
      </c>
      <c r="D63" t="s">
        <v>411</v>
      </c>
      <c r="E63" t="s">
        <v>412</v>
      </c>
      <c r="F63" t="s">
        <v>413</v>
      </c>
      <c r="G63" t="s">
        <v>414</v>
      </c>
    </row>
    <row r="64" spans="1:7" x14ac:dyDescent="0.35">
      <c r="A64" t="s">
        <v>415</v>
      </c>
      <c r="B64" t="s">
        <v>416</v>
      </c>
      <c r="C64" t="s">
        <v>417</v>
      </c>
      <c r="D64" t="s">
        <v>129</v>
      </c>
      <c r="E64" t="s">
        <v>418</v>
      </c>
      <c r="F64" t="s">
        <v>419</v>
      </c>
      <c r="G64" t="s">
        <v>420</v>
      </c>
    </row>
    <row r="65" spans="1:7" x14ac:dyDescent="0.35">
      <c r="A65" t="s">
        <v>421</v>
      </c>
      <c r="B65" t="s">
        <v>422</v>
      </c>
      <c r="C65" t="s">
        <v>423</v>
      </c>
      <c r="D65" t="s">
        <v>424</v>
      </c>
      <c r="E65" t="s">
        <v>425</v>
      </c>
      <c r="F65" t="s">
        <v>426</v>
      </c>
      <c r="G65" t="s">
        <v>427</v>
      </c>
    </row>
    <row r="66" spans="1:7" x14ac:dyDescent="0.35">
      <c r="A66" t="s">
        <v>428</v>
      </c>
      <c r="B66" t="s">
        <v>429</v>
      </c>
      <c r="C66" t="s">
        <v>430</v>
      </c>
      <c r="D66" t="s">
        <v>49</v>
      </c>
      <c r="E66" t="s">
        <v>431</v>
      </c>
      <c r="F66" t="s">
        <v>432</v>
      </c>
      <c r="G66" t="s">
        <v>433</v>
      </c>
    </row>
    <row r="67" spans="1:7" x14ac:dyDescent="0.35">
      <c r="A67" t="s">
        <v>434</v>
      </c>
      <c r="B67" t="s">
        <v>434</v>
      </c>
      <c r="C67" t="s">
        <v>435</v>
      </c>
      <c r="D67" t="s">
        <v>436</v>
      </c>
      <c r="E67" t="s">
        <v>437</v>
      </c>
      <c r="F67" t="s">
        <v>438</v>
      </c>
      <c r="G67" t="s">
        <v>439</v>
      </c>
    </row>
    <row r="68" spans="1:7" x14ac:dyDescent="0.35">
      <c r="A68" t="s">
        <v>440</v>
      </c>
      <c r="B68" t="s">
        <v>441</v>
      </c>
      <c r="C68" t="s">
        <v>442</v>
      </c>
      <c r="D68" t="s">
        <v>443</v>
      </c>
      <c r="E68" t="s">
        <v>444</v>
      </c>
      <c r="F68" t="s">
        <v>445</v>
      </c>
      <c r="G68" t="s">
        <v>446</v>
      </c>
    </row>
    <row r="69" spans="1:7" x14ac:dyDescent="0.35">
      <c r="A69" t="s">
        <v>447</v>
      </c>
      <c r="B69" t="s">
        <v>448</v>
      </c>
      <c r="C69" t="s">
        <v>449</v>
      </c>
      <c r="D69" t="s">
        <v>49</v>
      </c>
      <c r="E69" t="s">
        <v>450</v>
      </c>
      <c r="F69" t="s">
        <v>451</v>
      </c>
      <c r="G69" t="s">
        <v>452</v>
      </c>
    </row>
    <row r="70" spans="1:7" x14ac:dyDescent="0.35">
      <c r="A70" t="s">
        <v>453</v>
      </c>
      <c r="B70" t="s">
        <v>454</v>
      </c>
      <c r="C70" t="s">
        <v>455</v>
      </c>
      <c r="D70" t="s">
        <v>456</v>
      </c>
      <c r="E70" t="s">
        <v>457</v>
      </c>
      <c r="F70" t="s">
        <v>458</v>
      </c>
      <c r="G70" t="s">
        <v>459</v>
      </c>
    </row>
    <row r="71" spans="1:7" x14ac:dyDescent="0.35">
      <c r="A71" t="s">
        <v>460</v>
      </c>
      <c r="B71" t="s">
        <v>461</v>
      </c>
      <c r="C71" t="s">
        <v>462</v>
      </c>
      <c r="D71" t="s">
        <v>463</v>
      </c>
      <c r="E71" t="s">
        <v>464</v>
      </c>
      <c r="F71" t="s">
        <v>465</v>
      </c>
      <c r="G71" t="s">
        <v>466</v>
      </c>
    </row>
    <row r="72" spans="1:7" x14ac:dyDescent="0.35">
      <c r="A72" t="s">
        <v>467</v>
      </c>
      <c r="B72" t="s">
        <v>467</v>
      </c>
      <c r="C72" t="s">
        <v>468</v>
      </c>
      <c r="D72" t="s">
        <v>397</v>
      </c>
      <c r="E72" t="s">
        <v>469</v>
      </c>
      <c r="F72" t="s">
        <v>470</v>
      </c>
      <c r="G72" t="s">
        <v>471</v>
      </c>
    </row>
    <row r="73" spans="1:7" x14ac:dyDescent="0.35">
      <c r="A73" t="s">
        <v>472</v>
      </c>
      <c r="B73" t="s">
        <v>472</v>
      </c>
      <c r="C73" t="s">
        <v>473</v>
      </c>
      <c r="D73" t="s">
        <v>474</v>
      </c>
      <c r="E73" t="s">
        <v>475</v>
      </c>
      <c r="F73" t="s">
        <v>476</v>
      </c>
      <c r="G73" t="s">
        <v>477</v>
      </c>
    </row>
    <row r="74" spans="1:7" x14ac:dyDescent="0.35">
      <c r="A74" t="s">
        <v>478</v>
      </c>
      <c r="B74" t="s">
        <v>479</v>
      </c>
      <c r="C74" t="s">
        <v>480</v>
      </c>
      <c r="D74" t="s">
        <v>481</v>
      </c>
      <c r="E74" t="s">
        <v>482</v>
      </c>
      <c r="F74" t="s">
        <v>483</v>
      </c>
      <c r="G74" t="s">
        <v>484</v>
      </c>
    </row>
    <row r="75" spans="1:7" x14ac:dyDescent="0.35">
      <c r="A75" t="s">
        <v>485</v>
      </c>
      <c r="B75" t="s">
        <v>486</v>
      </c>
      <c r="C75" t="s">
        <v>487</v>
      </c>
      <c r="D75" t="s">
        <v>443</v>
      </c>
      <c r="E75" t="s">
        <v>488</v>
      </c>
      <c r="F75" t="s">
        <v>489</v>
      </c>
      <c r="G75" t="s">
        <v>490</v>
      </c>
    </row>
    <row r="76" spans="1:7" x14ac:dyDescent="0.35">
      <c r="A76" t="s">
        <v>491</v>
      </c>
      <c r="B76" t="s">
        <v>492</v>
      </c>
      <c r="C76" t="s">
        <v>493</v>
      </c>
      <c r="D76" t="s">
        <v>494</v>
      </c>
      <c r="E76" t="s">
        <v>495</v>
      </c>
      <c r="F76" t="s">
        <v>496</v>
      </c>
      <c r="G76" t="s">
        <v>497</v>
      </c>
    </row>
    <row r="77" spans="1:7" x14ac:dyDescent="0.35">
      <c r="A77" t="s">
        <v>498</v>
      </c>
      <c r="B77" t="s">
        <v>499</v>
      </c>
      <c r="C77" t="s">
        <v>500</v>
      </c>
      <c r="D77" t="s">
        <v>501</v>
      </c>
      <c r="E77" t="s">
        <v>502</v>
      </c>
      <c r="F77" t="s">
        <v>503</v>
      </c>
      <c r="G77" t="s">
        <v>504</v>
      </c>
    </row>
    <row r="78" spans="1:7" x14ac:dyDescent="0.35">
      <c r="A78" t="s">
        <v>505</v>
      </c>
      <c r="B78" t="s">
        <v>506</v>
      </c>
      <c r="C78" t="s">
        <v>507</v>
      </c>
      <c r="D78" t="s">
        <v>10</v>
      </c>
      <c r="E78" t="s">
        <v>508</v>
      </c>
      <c r="F78" t="s">
        <v>509</v>
      </c>
      <c r="G78" t="s">
        <v>510</v>
      </c>
    </row>
    <row r="79" spans="1:7" x14ac:dyDescent="0.35">
      <c r="A79" t="s">
        <v>511</v>
      </c>
      <c r="B79" t="s">
        <v>512</v>
      </c>
      <c r="C79" t="s">
        <v>513</v>
      </c>
      <c r="D79" t="s">
        <v>514</v>
      </c>
      <c r="E79" t="s">
        <v>515</v>
      </c>
      <c r="F79" t="s">
        <v>516</v>
      </c>
      <c r="G79" t="s">
        <v>517</v>
      </c>
    </row>
    <row r="80" spans="1:7" x14ac:dyDescent="0.35">
      <c r="A80" t="s">
        <v>518</v>
      </c>
      <c r="B80" t="s">
        <v>519</v>
      </c>
      <c r="C80" t="s">
        <v>520</v>
      </c>
      <c r="D80" t="s">
        <v>329</v>
      </c>
      <c r="E80" t="s">
        <v>521</v>
      </c>
      <c r="F80" t="s">
        <v>522</v>
      </c>
      <c r="G80" t="s">
        <v>523</v>
      </c>
    </row>
    <row r="81" spans="1:7" x14ac:dyDescent="0.35">
      <c r="A81" t="s">
        <v>524</v>
      </c>
      <c r="B81" t="s">
        <v>525</v>
      </c>
      <c r="C81" t="s">
        <v>526</v>
      </c>
      <c r="D81" t="s">
        <v>527</v>
      </c>
      <c r="E81" t="s">
        <v>528</v>
      </c>
      <c r="F81" t="s">
        <v>529</v>
      </c>
      <c r="G81" t="s">
        <v>530</v>
      </c>
    </row>
    <row r="82" spans="1:7" x14ac:dyDescent="0.35">
      <c r="A82" t="s">
        <v>531</v>
      </c>
      <c r="B82" t="s">
        <v>532</v>
      </c>
      <c r="C82" t="s">
        <v>533</v>
      </c>
      <c r="D82" t="s">
        <v>534</v>
      </c>
      <c r="E82" t="s">
        <v>535</v>
      </c>
      <c r="F82" t="s">
        <v>536</v>
      </c>
      <c r="G82" t="s">
        <v>537</v>
      </c>
    </row>
    <row r="83" spans="1:7" x14ac:dyDescent="0.35">
      <c r="A83" t="s">
        <v>538</v>
      </c>
      <c r="B83" t="s">
        <v>539</v>
      </c>
      <c r="C83" t="s">
        <v>540</v>
      </c>
      <c r="D83" t="s">
        <v>295</v>
      </c>
      <c r="E83" t="s">
        <v>541</v>
      </c>
      <c r="F83" t="s">
        <v>542</v>
      </c>
      <c r="G83" t="s">
        <v>543</v>
      </c>
    </row>
    <row r="84" spans="1:7" x14ac:dyDescent="0.35">
      <c r="A84" t="s">
        <v>544</v>
      </c>
      <c r="B84" t="s">
        <v>545</v>
      </c>
      <c r="C84" t="s">
        <v>546</v>
      </c>
      <c r="D84" t="s">
        <v>547</v>
      </c>
      <c r="E84" t="s">
        <v>548</v>
      </c>
      <c r="F84" t="s">
        <v>549</v>
      </c>
      <c r="G84" t="s">
        <v>550</v>
      </c>
    </row>
    <row r="85" spans="1:7" x14ac:dyDescent="0.35">
      <c r="A85" t="s">
        <v>551</v>
      </c>
      <c r="B85" t="s">
        <v>552</v>
      </c>
      <c r="C85" t="s">
        <v>553</v>
      </c>
      <c r="D85" t="s">
        <v>554</v>
      </c>
      <c r="E85" t="s">
        <v>555</v>
      </c>
      <c r="F85" t="s">
        <v>556</v>
      </c>
      <c r="G85" t="s">
        <v>557</v>
      </c>
    </row>
    <row r="86" spans="1:7" x14ac:dyDescent="0.35">
      <c r="A86" t="s">
        <v>558</v>
      </c>
      <c r="B86" t="s">
        <v>559</v>
      </c>
      <c r="C86" t="s">
        <v>560</v>
      </c>
      <c r="D86" t="s">
        <v>561</v>
      </c>
      <c r="E86" t="s">
        <v>562</v>
      </c>
      <c r="F86" t="s">
        <v>563</v>
      </c>
      <c r="G86" t="s">
        <v>564</v>
      </c>
    </row>
    <row r="87" spans="1:7" x14ac:dyDescent="0.35">
      <c r="A87" t="s">
        <v>565</v>
      </c>
      <c r="B87" t="s">
        <v>566</v>
      </c>
      <c r="C87" t="s">
        <v>567</v>
      </c>
      <c r="D87" t="s">
        <v>568</v>
      </c>
      <c r="E87" t="s">
        <v>569</v>
      </c>
      <c r="F87" t="s">
        <v>570</v>
      </c>
      <c r="G87" t="s">
        <v>571</v>
      </c>
    </row>
    <row r="88" spans="1:7" x14ac:dyDescent="0.35">
      <c r="A88" t="s">
        <v>572</v>
      </c>
      <c r="B88" t="s">
        <v>573</v>
      </c>
      <c r="C88" t="s">
        <v>574</v>
      </c>
      <c r="D88" t="s">
        <v>575</v>
      </c>
      <c r="E88" t="s">
        <v>576</v>
      </c>
      <c r="F88" t="s">
        <v>577</v>
      </c>
      <c r="G88" t="s">
        <v>578</v>
      </c>
    </row>
    <row r="89" spans="1:7" x14ac:dyDescent="0.35">
      <c r="A89" t="s">
        <v>579</v>
      </c>
      <c r="B89" t="s">
        <v>580</v>
      </c>
      <c r="C89" t="s">
        <v>581</v>
      </c>
      <c r="D89" t="s">
        <v>329</v>
      </c>
      <c r="E89" t="s">
        <v>582</v>
      </c>
      <c r="F89" t="s">
        <v>583</v>
      </c>
      <c r="G89" t="s">
        <v>584</v>
      </c>
    </row>
    <row r="90" spans="1:7" x14ac:dyDescent="0.35">
      <c r="A90" t="s">
        <v>585</v>
      </c>
      <c r="B90" t="s">
        <v>586</v>
      </c>
      <c r="C90" t="s">
        <v>587</v>
      </c>
      <c r="D90" t="s">
        <v>588</v>
      </c>
      <c r="E90" t="s">
        <v>589</v>
      </c>
      <c r="F90" t="s">
        <v>590</v>
      </c>
      <c r="G90" t="s">
        <v>591</v>
      </c>
    </row>
    <row r="91" spans="1:7" x14ac:dyDescent="0.35">
      <c r="A91" t="s">
        <v>592</v>
      </c>
      <c r="B91" t="s">
        <v>592</v>
      </c>
      <c r="C91" t="s">
        <v>593</v>
      </c>
      <c r="D91" t="s">
        <v>594</v>
      </c>
      <c r="E91" t="s">
        <v>595</v>
      </c>
      <c r="F91" t="s">
        <v>596</v>
      </c>
      <c r="G91" t="s">
        <v>597</v>
      </c>
    </row>
    <row r="92" spans="1:7" x14ac:dyDescent="0.35">
      <c r="A92" t="s">
        <v>598</v>
      </c>
      <c r="B92" t="s">
        <v>599</v>
      </c>
      <c r="C92" t="s">
        <v>600</v>
      </c>
      <c r="D92" t="s">
        <v>601</v>
      </c>
      <c r="E92" t="s">
        <v>602</v>
      </c>
      <c r="F92" t="s">
        <v>603</v>
      </c>
      <c r="G92" t="s">
        <v>604</v>
      </c>
    </row>
    <row r="93" spans="1:7" x14ac:dyDescent="0.35">
      <c r="A93" t="s">
        <v>605</v>
      </c>
      <c r="B93" t="s">
        <v>606</v>
      </c>
      <c r="C93" t="s">
        <v>607</v>
      </c>
      <c r="D93" t="s">
        <v>608</v>
      </c>
      <c r="E93" t="s">
        <v>609</v>
      </c>
      <c r="F93" t="s">
        <v>610</v>
      </c>
      <c r="G93" t="s">
        <v>611</v>
      </c>
    </row>
    <row r="94" spans="1:7" x14ac:dyDescent="0.35">
      <c r="A94" t="s">
        <v>612</v>
      </c>
      <c r="B94" t="s">
        <v>613</v>
      </c>
      <c r="C94" t="s">
        <v>614</v>
      </c>
      <c r="D94" t="s">
        <v>615</v>
      </c>
      <c r="E94" t="s">
        <v>616</v>
      </c>
      <c r="F94" t="s">
        <v>617</v>
      </c>
      <c r="G94" t="s">
        <v>618</v>
      </c>
    </row>
    <row r="95" spans="1:7" x14ac:dyDescent="0.35">
      <c r="A95" t="s">
        <v>619</v>
      </c>
      <c r="B95" t="s">
        <v>620</v>
      </c>
      <c r="C95" t="s">
        <v>621</v>
      </c>
      <c r="D95" t="s">
        <v>622</v>
      </c>
      <c r="E95" t="s">
        <v>623</v>
      </c>
      <c r="F95" t="s">
        <v>624</v>
      </c>
      <c r="G95" t="s">
        <v>625</v>
      </c>
    </row>
    <row r="96" spans="1:7" x14ac:dyDescent="0.35">
      <c r="A96" t="s">
        <v>626</v>
      </c>
      <c r="B96" t="s">
        <v>627</v>
      </c>
      <c r="C96" t="s">
        <v>628</v>
      </c>
      <c r="D96" t="s">
        <v>629</v>
      </c>
      <c r="E96" t="s">
        <v>630</v>
      </c>
      <c r="F96" t="s">
        <v>631</v>
      </c>
      <c r="G96" t="s">
        <v>632</v>
      </c>
    </row>
    <row r="97" spans="1:7" x14ac:dyDescent="0.35">
      <c r="A97" t="s">
        <v>633</v>
      </c>
      <c r="B97" t="s">
        <v>634</v>
      </c>
      <c r="C97" t="s">
        <v>635</v>
      </c>
      <c r="D97" t="s">
        <v>31</v>
      </c>
      <c r="E97" t="s">
        <v>636</v>
      </c>
      <c r="F97" t="s">
        <v>637</v>
      </c>
      <c r="G97" t="s">
        <v>638</v>
      </c>
    </row>
    <row r="98" spans="1:7" x14ac:dyDescent="0.35">
      <c r="A98" t="s">
        <v>639</v>
      </c>
      <c r="B98" t="s">
        <v>640</v>
      </c>
      <c r="C98" t="s">
        <v>641</v>
      </c>
      <c r="D98" t="s">
        <v>31</v>
      </c>
      <c r="E98" t="s">
        <v>642</v>
      </c>
      <c r="F98" t="s">
        <v>643</v>
      </c>
      <c r="G98" t="s">
        <v>644</v>
      </c>
    </row>
    <row r="99" spans="1:7" x14ac:dyDescent="0.35">
      <c r="A99" t="s">
        <v>645</v>
      </c>
      <c r="B99" t="s">
        <v>646</v>
      </c>
      <c r="C99" t="s">
        <v>48</v>
      </c>
      <c r="D99" t="s">
        <v>31</v>
      </c>
      <c r="E99" t="s">
        <v>647</v>
      </c>
      <c r="F99" t="s">
        <v>648</v>
      </c>
      <c r="G99" t="s">
        <v>649</v>
      </c>
    </row>
    <row r="100" spans="1:7" x14ac:dyDescent="0.35">
      <c r="A100" t="s">
        <v>650</v>
      </c>
      <c r="B100" t="s">
        <v>650</v>
      </c>
      <c r="C100" t="s">
        <v>651</v>
      </c>
      <c r="D100" t="s">
        <v>329</v>
      </c>
      <c r="E100" t="s">
        <v>652</v>
      </c>
      <c r="F100" t="s">
        <v>653</v>
      </c>
      <c r="G100" t="s">
        <v>654</v>
      </c>
    </row>
    <row r="101" spans="1:7" x14ac:dyDescent="0.35">
      <c r="A101" t="s">
        <v>655</v>
      </c>
      <c r="B101" t="s">
        <v>656</v>
      </c>
      <c r="C101" t="s">
        <v>657</v>
      </c>
      <c r="D101" t="s">
        <v>658</v>
      </c>
      <c r="E101" t="s">
        <v>659</v>
      </c>
      <c r="F101" t="s">
        <v>660</v>
      </c>
      <c r="G101" t="s">
        <v>661</v>
      </c>
    </row>
    <row r="102" spans="1:7" x14ac:dyDescent="0.35">
      <c r="A102" t="s">
        <v>662</v>
      </c>
      <c r="B102" t="s">
        <v>663</v>
      </c>
      <c r="C102" t="s">
        <v>664</v>
      </c>
      <c r="D102" t="s">
        <v>665</v>
      </c>
      <c r="E102" t="s">
        <v>666</v>
      </c>
      <c r="F102" t="s">
        <v>667</v>
      </c>
      <c r="G102" t="s">
        <v>668</v>
      </c>
    </row>
    <row r="103" spans="1:7" x14ac:dyDescent="0.35">
      <c r="A103" t="s">
        <v>669</v>
      </c>
      <c r="B103" t="s">
        <v>670</v>
      </c>
      <c r="C103" t="s">
        <v>671</v>
      </c>
      <c r="D103" t="s">
        <v>672</v>
      </c>
      <c r="E103" t="s">
        <v>673</v>
      </c>
      <c r="F103" t="s">
        <v>674</v>
      </c>
      <c r="G103" t="s">
        <v>675</v>
      </c>
    </row>
    <row r="104" spans="1:7" x14ac:dyDescent="0.35">
      <c r="A104" t="s">
        <v>676</v>
      </c>
      <c r="B104" t="s">
        <v>677</v>
      </c>
      <c r="C104" t="s">
        <v>678</v>
      </c>
      <c r="D104" t="s">
        <v>679</v>
      </c>
      <c r="E104" t="s">
        <v>680</v>
      </c>
      <c r="F104" t="s">
        <v>681</v>
      </c>
      <c r="G104" t="s">
        <v>682</v>
      </c>
    </row>
    <row r="105" spans="1:7" x14ac:dyDescent="0.35">
      <c r="A105" t="s">
        <v>683</v>
      </c>
      <c r="B105" t="s">
        <v>684</v>
      </c>
      <c r="C105" t="s">
        <v>685</v>
      </c>
      <c r="D105" t="s">
        <v>686</v>
      </c>
      <c r="E105" t="s">
        <v>687</v>
      </c>
      <c r="F105" t="s">
        <v>688</v>
      </c>
      <c r="G105" t="s">
        <v>689</v>
      </c>
    </row>
    <row r="106" spans="1:7" x14ac:dyDescent="0.35">
      <c r="A106" t="s">
        <v>690</v>
      </c>
      <c r="B106" t="s">
        <v>691</v>
      </c>
      <c r="C106" t="s">
        <v>692</v>
      </c>
      <c r="D106" t="s">
        <v>31</v>
      </c>
      <c r="E106" t="s">
        <v>693</v>
      </c>
      <c r="F106" t="s">
        <v>694</v>
      </c>
      <c r="G106" t="s">
        <v>695</v>
      </c>
    </row>
    <row r="107" spans="1:7" x14ac:dyDescent="0.35">
      <c r="A107" t="s">
        <v>696</v>
      </c>
      <c r="B107" t="s">
        <v>697</v>
      </c>
      <c r="C107" t="s">
        <v>698</v>
      </c>
      <c r="D107" t="s">
        <v>169</v>
      </c>
      <c r="E107" t="s">
        <v>699</v>
      </c>
      <c r="F107" t="s">
        <v>700</v>
      </c>
      <c r="G107" t="s">
        <v>701</v>
      </c>
    </row>
    <row r="108" spans="1:7" x14ac:dyDescent="0.35">
      <c r="A108" t="s">
        <v>702</v>
      </c>
      <c r="B108" t="s">
        <v>703</v>
      </c>
      <c r="C108" t="s">
        <v>704</v>
      </c>
      <c r="D108" t="s">
        <v>705</v>
      </c>
      <c r="E108" t="s">
        <v>706</v>
      </c>
      <c r="F108" t="s">
        <v>707</v>
      </c>
      <c r="G108" t="s">
        <v>708</v>
      </c>
    </row>
    <row r="109" spans="1:7" x14ac:dyDescent="0.35">
      <c r="A109" t="s">
        <v>709</v>
      </c>
      <c r="B109" t="s">
        <v>710</v>
      </c>
      <c r="C109" t="s">
        <v>711</v>
      </c>
      <c r="D109" t="s">
        <v>76</v>
      </c>
      <c r="E109" t="s">
        <v>712</v>
      </c>
      <c r="F109" t="s">
        <v>713</v>
      </c>
      <c r="G109" t="s">
        <v>714</v>
      </c>
    </row>
    <row r="110" spans="1:7" x14ac:dyDescent="0.35">
      <c r="A110" t="s">
        <v>715</v>
      </c>
      <c r="B110" t="s">
        <v>716</v>
      </c>
      <c r="C110" t="s">
        <v>717</v>
      </c>
      <c r="D110" t="s">
        <v>37</v>
      </c>
      <c r="E110" t="s">
        <v>718</v>
      </c>
      <c r="F110" t="s">
        <v>719</v>
      </c>
      <c r="G110" t="s">
        <v>720</v>
      </c>
    </row>
    <row r="111" spans="1:7" x14ac:dyDescent="0.35">
      <c r="A111" t="s">
        <v>721</v>
      </c>
      <c r="B111" t="s">
        <v>722</v>
      </c>
      <c r="C111" t="s">
        <v>723</v>
      </c>
      <c r="D111" t="s">
        <v>474</v>
      </c>
      <c r="E111" t="s">
        <v>724</v>
      </c>
      <c r="F111" t="s">
        <v>725</v>
      </c>
      <c r="G111" t="s">
        <v>726</v>
      </c>
    </row>
    <row r="112" spans="1:7" x14ac:dyDescent="0.35">
      <c r="A112" t="s">
        <v>727</v>
      </c>
      <c r="B112" t="s">
        <v>728</v>
      </c>
      <c r="C112" t="s">
        <v>729</v>
      </c>
      <c r="D112" t="s">
        <v>336</v>
      </c>
      <c r="E112" t="s">
        <v>730</v>
      </c>
      <c r="F112" t="s">
        <v>731</v>
      </c>
      <c r="G112" t="s">
        <v>732</v>
      </c>
    </row>
    <row r="113" spans="1:7" x14ac:dyDescent="0.35">
      <c r="A113" t="s">
        <v>733</v>
      </c>
      <c r="B113" t="s">
        <v>734</v>
      </c>
      <c r="C113" t="s">
        <v>735</v>
      </c>
      <c r="D113" t="s">
        <v>686</v>
      </c>
      <c r="E113" t="s">
        <v>736</v>
      </c>
      <c r="F113" t="s">
        <v>737</v>
      </c>
      <c r="G113" t="s">
        <v>738</v>
      </c>
    </row>
    <row r="114" spans="1:7" x14ac:dyDescent="0.35">
      <c r="A114" t="s">
        <v>739</v>
      </c>
      <c r="B114" t="s">
        <v>740</v>
      </c>
      <c r="C114" t="s">
        <v>741</v>
      </c>
      <c r="D114" t="s">
        <v>257</v>
      </c>
      <c r="E114" t="s">
        <v>742</v>
      </c>
      <c r="F114" t="s">
        <v>743</v>
      </c>
      <c r="G114" t="s">
        <v>744</v>
      </c>
    </row>
    <row r="115" spans="1:7" x14ac:dyDescent="0.35">
      <c r="A115" t="s">
        <v>745</v>
      </c>
      <c r="B115" t="s">
        <v>746</v>
      </c>
      <c r="C115" t="s">
        <v>747</v>
      </c>
      <c r="D115" t="s">
        <v>397</v>
      </c>
      <c r="E115" t="s">
        <v>748</v>
      </c>
      <c r="F115" t="s">
        <v>749</v>
      </c>
      <c r="G115" t="s">
        <v>750</v>
      </c>
    </row>
    <row r="116" spans="1:7" x14ac:dyDescent="0.35">
      <c r="A116" t="s">
        <v>751</v>
      </c>
      <c r="B116" t="s">
        <v>752</v>
      </c>
      <c r="C116" t="s">
        <v>753</v>
      </c>
      <c r="D116" t="s">
        <v>615</v>
      </c>
      <c r="E116" t="s">
        <v>754</v>
      </c>
      <c r="F116" t="s">
        <v>755</v>
      </c>
      <c r="G116" t="s">
        <v>756</v>
      </c>
    </row>
    <row r="117" spans="1:7" x14ac:dyDescent="0.35">
      <c r="A117" t="s">
        <v>757</v>
      </c>
      <c r="B117" t="s">
        <v>758</v>
      </c>
      <c r="C117" t="s">
        <v>759</v>
      </c>
      <c r="D117" t="s">
        <v>760</v>
      </c>
      <c r="E117" t="s">
        <v>761</v>
      </c>
      <c r="F117" t="s">
        <v>762</v>
      </c>
      <c r="G117" t="s">
        <v>763</v>
      </c>
    </row>
    <row r="118" spans="1:7" x14ac:dyDescent="0.35">
      <c r="A118" t="s">
        <v>764</v>
      </c>
      <c r="B118" t="s">
        <v>765</v>
      </c>
      <c r="C118" t="s">
        <v>766</v>
      </c>
      <c r="D118" t="s">
        <v>10</v>
      </c>
      <c r="E118" t="s">
        <v>767</v>
      </c>
      <c r="F118" t="s">
        <v>768</v>
      </c>
      <c r="G118" t="s">
        <v>769</v>
      </c>
    </row>
    <row r="119" spans="1:7" x14ac:dyDescent="0.35">
      <c r="A119" t="s">
        <v>770</v>
      </c>
      <c r="B119" t="s">
        <v>771</v>
      </c>
      <c r="C119" t="s">
        <v>772</v>
      </c>
      <c r="D119" t="s">
        <v>773</v>
      </c>
      <c r="E119" t="s">
        <v>774</v>
      </c>
      <c r="F119" t="s">
        <v>775</v>
      </c>
      <c r="G119" t="s">
        <v>776</v>
      </c>
    </row>
    <row r="120" spans="1:7" x14ac:dyDescent="0.35">
      <c r="A120" t="s">
        <v>777</v>
      </c>
      <c r="B120" t="s">
        <v>778</v>
      </c>
      <c r="C120" t="s">
        <v>779</v>
      </c>
      <c r="D120" t="s">
        <v>780</v>
      </c>
      <c r="E120" t="s">
        <v>781</v>
      </c>
      <c r="F120" t="s">
        <v>782</v>
      </c>
      <c r="G120" t="s">
        <v>783</v>
      </c>
    </row>
    <row r="121" spans="1:7" x14ac:dyDescent="0.35">
      <c r="A121" t="s">
        <v>784</v>
      </c>
      <c r="B121" t="s">
        <v>785</v>
      </c>
      <c r="C121" t="s">
        <v>786</v>
      </c>
      <c r="D121" t="s">
        <v>787</v>
      </c>
      <c r="E121" t="s">
        <v>788</v>
      </c>
      <c r="F121" t="s">
        <v>789</v>
      </c>
      <c r="G121" t="s">
        <v>790</v>
      </c>
    </row>
    <row r="122" spans="1:7" x14ac:dyDescent="0.35">
      <c r="A122" t="s">
        <v>791</v>
      </c>
      <c r="B122" t="s">
        <v>792</v>
      </c>
      <c r="C122" t="s">
        <v>793</v>
      </c>
      <c r="D122" t="s">
        <v>474</v>
      </c>
      <c r="E122" t="s">
        <v>794</v>
      </c>
      <c r="F122" t="s">
        <v>795</v>
      </c>
      <c r="G122" t="s">
        <v>796</v>
      </c>
    </row>
    <row r="123" spans="1:7" x14ac:dyDescent="0.35">
      <c r="A123" t="s">
        <v>797</v>
      </c>
      <c r="B123" t="s">
        <v>798</v>
      </c>
      <c r="C123" t="s">
        <v>799</v>
      </c>
      <c r="D123" t="s">
        <v>686</v>
      </c>
      <c r="E123" t="s">
        <v>800</v>
      </c>
      <c r="F123" t="s">
        <v>801</v>
      </c>
      <c r="G123" t="s">
        <v>802</v>
      </c>
    </row>
    <row r="124" spans="1:7" x14ac:dyDescent="0.35">
      <c r="A124" t="s">
        <v>803</v>
      </c>
      <c r="B124" t="s">
        <v>804</v>
      </c>
      <c r="C124" t="s">
        <v>805</v>
      </c>
      <c r="D124" t="s">
        <v>322</v>
      </c>
      <c r="E124" t="s">
        <v>806</v>
      </c>
      <c r="F124" t="s">
        <v>807</v>
      </c>
      <c r="G124" t="s">
        <v>808</v>
      </c>
    </row>
    <row r="125" spans="1:7" x14ac:dyDescent="0.35">
      <c r="A125" t="s">
        <v>809</v>
      </c>
      <c r="B125" t="s">
        <v>810</v>
      </c>
      <c r="C125" t="s">
        <v>811</v>
      </c>
      <c r="D125" t="s">
        <v>812</v>
      </c>
      <c r="E125" t="s">
        <v>813</v>
      </c>
      <c r="F125" t="s">
        <v>814</v>
      </c>
      <c r="G125" t="s">
        <v>815</v>
      </c>
    </row>
    <row r="126" spans="1:7" x14ac:dyDescent="0.35">
      <c r="A126" t="s">
        <v>816</v>
      </c>
      <c r="B126" t="s">
        <v>817</v>
      </c>
      <c r="C126" t="s">
        <v>818</v>
      </c>
      <c r="D126" t="s">
        <v>819</v>
      </c>
      <c r="E126" t="s">
        <v>820</v>
      </c>
      <c r="F126" t="s">
        <v>821</v>
      </c>
      <c r="G126" t="s">
        <v>822</v>
      </c>
    </row>
    <row r="127" spans="1:7" x14ac:dyDescent="0.35">
      <c r="A127" t="s">
        <v>823</v>
      </c>
      <c r="B127" t="s">
        <v>824</v>
      </c>
      <c r="C127" t="s">
        <v>825</v>
      </c>
      <c r="D127" t="s">
        <v>760</v>
      </c>
      <c r="E127" t="s">
        <v>826</v>
      </c>
      <c r="F127" t="s">
        <v>827</v>
      </c>
      <c r="G127" t="s">
        <v>828</v>
      </c>
    </row>
    <row r="128" spans="1:7" x14ac:dyDescent="0.35">
      <c r="A128" t="s">
        <v>829</v>
      </c>
      <c r="B128" t="s">
        <v>830</v>
      </c>
      <c r="C128" t="s">
        <v>831</v>
      </c>
      <c r="D128" t="s">
        <v>832</v>
      </c>
      <c r="E128" t="s">
        <v>833</v>
      </c>
      <c r="F128" t="s">
        <v>834</v>
      </c>
      <c r="G128" t="s">
        <v>835</v>
      </c>
    </row>
    <row r="129" spans="1:7" x14ac:dyDescent="0.35">
      <c r="A129" t="s">
        <v>836</v>
      </c>
      <c r="B129" t="s">
        <v>837</v>
      </c>
      <c r="C129" t="s">
        <v>838</v>
      </c>
      <c r="D129" t="s">
        <v>839</v>
      </c>
      <c r="E129" t="s">
        <v>840</v>
      </c>
      <c r="F129" t="s">
        <v>841</v>
      </c>
      <c r="G129" t="s">
        <v>842</v>
      </c>
    </row>
    <row r="130" spans="1:7" x14ac:dyDescent="0.35">
      <c r="A130" t="s">
        <v>843</v>
      </c>
      <c r="B130" t="s">
        <v>844</v>
      </c>
      <c r="C130" t="s">
        <v>845</v>
      </c>
      <c r="D130" t="s">
        <v>846</v>
      </c>
      <c r="E130" t="s">
        <v>847</v>
      </c>
      <c r="F130" t="s">
        <v>848</v>
      </c>
      <c r="G130" t="s">
        <v>849</v>
      </c>
    </row>
    <row r="131" spans="1:7" x14ac:dyDescent="0.35">
      <c r="A131" t="s">
        <v>850</v>
      </c>
      <c r="B131" t="s">
        <v>851</v>
      </c>
      <c r="C131" t="s">
        <v>852</v>
      </c>
      <c r="D131" t="s">
        <v>43</v>
      </c>
      <c r="E131" t="s">
        <v>853</v>
      </c>
      <c r="F131" t="s">
        <v>854</v>
      </c>
      <c r="G131" t="s">
        <v>855</v>
      </c>
    </row>
    <row r="132" spans="1:7" x14ac:dyDescent="0.35">
      <c r="A132" t="s">
        <v>856</v>
      </c>
      <c r="B132" t="s">
        <v>857</v>
      </c>
      <c r="C132" t="s">
        <v>858</v>
      </c>
      <c r="D132" t="s">
        <v>839</v>
      </c>
      <c r="E132" t="s">
        <v>859</v>
      </c>
      <c r="F132" t="s">
        <v>860</v>
      </c>
      <c r="G132" t="s">
        <v>861</v>
      </c>
    </row>
    <row r="133" spans="1:7" x14ac:dyDescent="0.35">
      <c r="A133" t="s">
        <v>862</v>
      </c>
      <c r="B133" t="s">
        <v>863</v>
      </c>
      <c r="C133" t="s">
        <v>864</v>
      </c>
      <c r="D133" t="s">
        <v>561</v>
      </c>
      <c r="E133" t="s">
        <v>865</v>
      </c>
      <c r="F133" t="s">
        <v>866</v>
      </c>
      <c r="G133" t="s">
        <v>867</v>
      </c>
    </row>
    <row r="134" spans="1:7" x14ac:dyDescent="0.35">
      <c r="A134" t="s">
        <v>868</v>
      </c>
      <c r="B134" t="s">
        <v>869</v>
      </c>
      <c r="C134" t="s">
        <v>870</v>
      </c>
      <c r="D134" t="s">
        <v>561</v>
      </c>
      <c r="E134" t="s">
        <v>871</v>
      </c>
      <c r="F134" t="s">
        <v>872</v>
      </c>
      <c r="G134" t="s">
        <v>873</v>
      </c>
    </row>
    <row r="135" spans="1:7" x14ac:dyDescent="0.35">
      <c r="A135" t="s">
        <v>874</v>
      </c>
      <c r="B135" t="s">
        <v>875</v>
      </c>
      <c r="C135" t="s">
        <v>876</v>
      </c>
      <c r="D135" t="s">
        <v>136</v>
      </c>
      <c r="E135" t="s">
        <v>877</v>
      </c>
      <c r="F135" t="s">
        <v>878</v>
      </c>
      <c r="G135" t="s">
        <v>879</v>
      </c>
    </row>
    <row r="136" spans="1:7" x14ac:dyDescent="0.35">
      <c r="A136" t="s">
        <v>880</v>
      </c>
      <c r="B136" t="s">
        <v>880</v>
      </c>
      <c r="C136" t="s">
        <v>881</v>
      </c>
      <c r="D136" t="s">
        <v>882</v>
      </c>
      <c r="E136" t="s">
        <v>883</v>
      </c>
      <c r="F136" t="s">
        <v>884</v>
      </c>
      <c r="G136" t="s">
        <v>885</v>
      </c>
    </row>
    <row r="137" spans="1:7" x14ac:dyDescent="0.35">
      <c r="A137" t="s">
        <v>886</v>
      </c>
      <c r="B137" t="s">
        <v>887</v>
      </c>
      <c r="C137" t="s">
        <v>888</v>
      </c>
      <c r="D137" t="s">
        <v>24</v>
      </c>
      <c r="E137" t="s">
        <v>889</v>
      </c>
      <c r="F137" t="s">
        <v>890</v>
      </c>
      <c r="G137" t="s">
        <v>891</v>
      </c>
    </row>
    <row r="138" spans="1:7" x14ac:dyDescent="0.35">
      <c r="A138" t="s">
        <v>892</v>
      </c>
      <c r="B138" t="s">
        <v>893</v>
      </c>
      <c r="C138" t="s">
        <v>894</v>
      </c>
      <c r="D138" t="s">
        <v>895</v>
      </c>
      <c r="E138" t="s">
        <v>896</v>
      </c>
      <c r="F138" t="s">
        <v>897</v>
      </c>
      <c r="G138" t="s">
        <v>898</v>
      </c>
    </row>
    <row r="139" spans="1:7" x14ac:dyDescent="0.35">
      <c r="A139" t="s">
        <v>899</v>
      </c>
      <c r="B139" t="s">
        <v>900</v>
      </c>
      <c r="C139" t="s">
        <v>901</v>
      </c>
      <c r="D139" t="s">
        <v>615</v>
      </c>
      <c r="E139" t="s">
        <v>902</v>
      </c>
      <c r="F139" t="s">
        <v>903</v>
      </c>
      <c r="G139" t="s">
        <v>904</v>
      </c>
    </row>
    <row r="140" spans="1:7" x14ac:dyDescent="0.35">
      <c r="A140" t="s">
        <v>905</v>
      </c>
      <c r="B140" t="s">
        <v>906</v>
      </c>
      <c r="C140" t="s">
        <v>907</v>
      </c>
      <c r="D140" t="s">
        <v>257</v>
      </c>
      <c r="E140" t="s">
        <v>908</v>
      </c>
      <c r="F140" t="s">
        <v>909</v>
      </c>
      <c r="G140" t="s">
        <v>910</v>
      </c>
    </row>
    <row r="141" spans="1:7" x14ac:dyDescent="0.35">
      <c r="A141" t="s">
        <v>911</v>
      </c>
      <c r="B141" t="s">
        <v>911</v>
      </c>
      <c r="C141" t="s">
        <v>912</v>
      </c>
      <c r="D141" t="s">
        <v>49</v>
      </c>
      <c r="E141" t="s">
        <v>913</v>
      </c>
      <c r="F141" t="s">
        <v>914</v>
      </c>
      <c r="G141" t="s">
        <v>915</v>
      </c>
    </row>
    <row r="142" spans="1:7" x14ac:dyDescent="0.35">
      <c r="A142" t="s">
        <v>916</v>
      </c>
      <c r="B142" t="s">
        <v>917</v>
      </c>
      <c r="C142" t="s">
        <v>918</v>
      </c>
      <c r="D142" t="s">
        <v>257</v>
      </c>
      <c r="E142" t="s">
        <v>919</v>
      </c>
      <c r="F142" t="s">
        <v>920</v>
      </c>
      <c r="G142" t="s">
        <v>921</v>
      </c>
    </row>
    <row r="143" spans="1:7" x14ac:dyDescent="0.35">
      <c r="A143" t="s">
        <v>922</v>
      </c>
      <c r="B143" t="s">
        <v>923</v>
      </c>
      <c r="C143" t="s">
        <v>924</v>
      </c>
      <c r="D143" t="s">
        <v>925</v>
      </c>
      <c r="E143" t="s">
        <v>926</v>
      </c>
      <c r="F143" t="s">
        <v>927</v>
      </c>
      <c r="G143" t="s">
        <v>928</v>
      </c>
    </row>
    <row r="144" spans="1:7" x14ac:dyDescent="0.35">
      <c r="A144" t="s">
        <v>929</v>
      </c>
      <c r="B144" t="s">
        <v>930</v>
      </c>
      <c r="C144" t="s">
        <v>931</v>
      </c>
      <c r="D144" t="s">
        <v>932</v>
      </c>
      <c r="E144" t="s">
        <v>933</v>
      </c>
      <c r="F144" t="s">
        <v>934</v>
      </c>
      <c r="G144" t="s">
        <v>935</v>
      </c>
    </row>
    <row r="145" spans="1:7" x14ac:dyDescent="0.35">
      <c r="A145" t="s">
        <v>936</v>
      </c>
      <c r="B145" t="s">
        <v>936</v>
      </c>
      <c r="C145" t="s">
        <v>937</v>
      </c>
      <c r="D145" t="s">
        <v>672</v>
      </c>
      <c r="E145" t="s">
        <v>938</v>
      </c>
      <c r="F145" t="s">
        <v>939</v>
      </c>
      <c r="G145" t="s">
        <v>940</v>
      </c>
    </row>
    <row r="146" spans="1:7" x14ac:dyDescent="0.35">
      <c r="A146" t="s">
        <v>941</v>
      </c>
      <c r="B146" t="s">
        <v>942</v>
      </c>
      <c r="C146" t="s">
        <v>943</v>
      </c>
      <c r="D146" t="s">
        <v>443</v>
      </c>
      <c r="E146" t="s">
        <v>944</v>
      </c>
      <c r="F146" t="s">
        <v>945</v>
      </c>
      <c r="G146" t="s">
        <v>946</v>
      </c>
    </row>
    <row r="147" spans="1:7" x14ac:dyDescent="0.35">
      <c r="A147" t="s">
        <v>947</v>
      </c>
      <c r="B147" t="s">
        <v>948</v>
      </c>
      <c r="C147" t="s">
        <v>949</v>
      </c>
      <c r="D147" t="s">
        <v>397</v>
      </c>
      <c r="E147" t="s">
        <v>950</v>
      </c>
      <c r="F147" t="s">
        <v>951</v>
      </c>
      <c r="G147" t="s">
        <v>952</v>
      </c>
    </row>
    <row r="148" spans="1:7" x14ac:dyDescent="0.35">
      <c r="A148" t="s">
        <v>953</v>
      </c>
      <c r="B148" t="s">
        <v>954</v>
      </c>
      <c r="C148" t="s">
        <v>955</v>
      </c>
      <c r="D148" t="s">
        <v>956</v>
      </c>
      <c r="E148" t="s">
        <v>957</v>
      </c>
      <c r="F148" t="s">
        <v>958</v>
      </c>
      <c r="G148" t="s">
        <v>959</v>
      </c>
    </row>
    <row r="149" spans="1:7" x14ac:dyDescent="0.35">
      <c r="A149" t="s">
        <v>960</v>
      </c>
      <c r="B149" t="s">
        <v>961</v>
      </c>
      <c r="C149" t="s">
        <v>962</v>
      </c>
      <c r="D149" t="s">
        <v>31</v>
      </c>
      <c r="E149" t="s">
        <v>963</v>
      </c>
      <c r="F149" t="s">
        <v>637</v>
      </c>
      <c r="G149" t="s">
        <v>964</v>
      </c>
    </row>
    <row r="150" spans="1:7" x14ac:dyDescent="0.35">
      <c r="A150" t="s">
        <v>965</v>
      </c>
      <c r="B150" t="s">
        <v>966</v>
      </c>
      <c r="C150" t="s">
        <v>967</v>
      </c>
      <c r="D150" t="s">
        <v>31</v>
      </c>
      <c r="E150" t="s">
        <v>968</v>
      </c>
      <c r="F150" t="s">
        <v>637</v>
      </c>
      <c r="G150" t="s">
        <v>969</v>
      </c>
    </row>
    <row r="151" spans="1:7" x14ac:dyDescent="0.35">
      <c r="A151" t="s">
        <v>970</v>
      </c>
      <c r="B151" t="s">
        <v>971</v>
      </c>
      <c r="C151" t="s">
        <v>972</v>
      </c>
      <c r="D151" t="s">
        <v>615</v>
      </c>
      <c r="E151" t="s">
        <v>973</v>
      </c>
      <c r="F151" t="s">
        <v>974</v>
      </c>
      <c r="G151" t="s">
        <v>975</v>
      </c>
    </row>
    <row r="152" spans="1:7" x14ac:dyDescent="0.35">
      <c r="A152" t="s">
        <v>976</v>
      </c>
      <c r="B152" t="s">
        <v>977</v>
      </c>
      <c r="C152" t="s">
        <v>978</v>
      </c>
      <c r="D152" t="s">
        <v>979</v>
      </c>
      <c r="E152" t="s">
        <v>980</v>
      </c>
      <c r="F152" t="s">
        <v>981</v>
      </c>
      <c r="G152" t="s">
        <v>982</v>
      </c>
    </row>
    <row r="153" spans="1:7" x14ac:dyDescent="0.35">
      <c r="A153" t="s">
        <v>983</v>
      </c>
      <c r="B153" t="s">
        <v>984</v>
      </c>
      <c r="C153" t="s">
        <v>985</v>
      </c>
      <c r="D153" t="s">
        <v>329</v>
      </c>
      <c r="E153" t="s">
        <v>986</v>
      </c>
      <c r="F153" t="s">
        <v>987</v>
      </c>
      <c r="G153" t="s">
        <v>988</v>
      </c>
    </row>
    <row r="154" spans="1:7" x14ac:dyDescent="0.35">
      <c r="A154" t="s">
        <v>989</v>
      </c>
      <c r="B154" t="s">
        <v>990</v>
      </c>
      <c r="C154" t="s">
        <v>991</v>
      </c>
      <c r="D154" t="s">
        <v>992</v>
      </c>
      <c r="E154" t="s">
        <v>993</v>
      </c>
      <c r="F154" t="s">
        <v>994</v>
      </c>
      <c r="G154" t="s">
        <v>995</v>
      </c>
    </row>
    <row r="155" spans="1:7" x14ac:dyDescent="0.35">
      <c r="A155" t="s">
        <v>996</v>
      </c>
      <c r="B155" t="s">
        <v>997</v>
      </c>
      <c r="C155" t="s">
        <v>998</v>
      </c>
      <c r="D155" t="s">
        <v>932</v>
      </c>
      <c r="E155" t="s">
        <v>999</v>
      </c>
      <c r="F155" t="s">
        <v>1000</v>
      </c>
      <c r="G155" t="s">
        <v>1001</v>
      </c>
    </row>
    <row r="156" spans="1:7" x14ac:dyDescent="0.35">
      <c r="A156" t="s">
        <v>1002</v>
      </c>
      <c r="B156" t="s">
        <v>1003</v>
      </c>
      <c r="C156" t="s">
        <v>1004</v>
      </c>
      <c r="D156" t="s">
        <v>629</v>
      </c>
      <c r="E156" t="s">
        <v>1005</v>
      </c>
      <c r="F156" t="s">
        <v>1006</v>
      </c>
      <c r="G156" t="s">
        <v>1007</v>
      </c>
    </row>
    <row r="157" spans="1:7" x14ac:dyDescent="0.35">
      <c r="A157" t="s">
        <v>1008</v>
      </c>
      <c r="B157" t="s">
        <v>1009</v>
      </c>
      <c r="C157" t="s">
        <v>1010</v>
      </c>
      <c r="D157" t="s">
        <v>474</v>
      </c>
      <c r="E157" t="s">
        <v>1011</v>
      </c>
      <c r="F157" t="s">
        <v>1012</v>
      </c>
      <c r="G157" t="s">
        <v>1013</v>
      </c>
    </row>
    <row r="158" spans="1:7" x14ac:dyDescent="0.35">
      <c r="A158" t="s">
        <v>1014</v>
      </c>
      <c r="B158" t="s">
        <v>1014</v>
      </c>
      <c r="C158" t="s">
        <v>805</v>
      </c>
      <c r="D158" t="s">
        <v>37</v>
      </c>
      <c r="E158" t="s">
        <v>1015</v>
      </c>
      <c r="F158" t="s">
        <v>1016</v>
      </c>
      <c r="G158" t="s">
        <v>1017</v>
      </c>
    </row>
    <row r="159" spans="1:7" x14ac:dyDescent="0.35">
      <c r="A159" t="s">
        <v>1018</v>
      </c>
      <c r="B159" t="s">
        <v>1019</v>
      </c>
      <c r="C159" t="s">
        <v>1020</v>
      </c>
      <c r="D159" t="s">
        <v>390</v>
      </c>
      <c r="E159" t="s">
        <v>1021</v>
      </c>
      <c r="F159" t="s">
        <v>1022</v>
      </c>
      <c r="G159" t="s">
        <v>1023</v>
      </c>
    </row>
    <row r="160" spans="1:7" x14ac:dyDescent="0.35">
      <c r="A160" t="s">
        <v>1024</v>
      </c>
      <c r="B160" t="s">
        <v>1024</v>
      </c>
      <c r="C160" t="s">
        <v>1025</v>
      </c>
      <c r="D160" t="s">
        <v>1026</v>
      </c>
      <c r="E160" t="s">
        <v>1027</v>
      </c>
      <c r="F160" t="s">
        <v>1028</v>
      </c>
      <c r="G160" t="s">
        <v>1029</v>
      </c>
    </row>
    <row r="161" spans="1:7" x14ac:dyDescent="0.35">
      <c r="A161" t="s">
        <v>1030</v>
      </c>
      <c r="B161" t="s">
        <v>1031</v>
      </c>
      <c r="C161" t="s">
        <v>1032</v>
      </c>
      <c r="D161" t="s">
        <v>116</v>
      </c>
      <c r="E161" t="s">
        <v>1033</v>
      </c>
      <c r="F161" t="s">
        <v>1034</v>
      </c>
      <c r="G161" t="s">
        <v>1035</v>
      </c>
    </row>
    <row r="162" spans="1:7" x14ac:dyDescent="0.35">
      <c r="A162" t="s">
        <v>1036</v>
      </c>
      <c r="B162" t="s">
        <v>1037</v>
      </c>
      <c r="C162" t="s">
        <v>1038</v>
      </c>
      <c r="D162" t="s">
        <v>1039</v>
      </c>
      <c r="E162" t="s">
        <v>1040</v>
      </c>
      <c r="F162" t="s">
        <v>1041</v>
      </c>
      <c r="G162" t="s">
        <v>1042</v>
      </c>
    </row>
    <row r="163" spans="1:7" x14ac:dyDescent="0.35">
      <c r="A163" t="s">
        <v>1043</v>
      </c>
      <c r="B163" t="s">
        <v>1044</v>
      </c>
      <c r="C163" t="s">
        <v>1045</v>
      </c>
      <c r="D163" t="s">
        <v>932</v>
      </c>
      <c r="E163" t="s">
        <v>1046</v>
      </c>
      <c r="F163" t="s">
        <v>1047</v>
      </c>
      <c r="G163" t="s">
        <v>1048</v>
      </c>
    </row>
    <row r="164" spans="1:7" x14ac:dyDescent="0.35">
      <c r="A164" t="s">
        <v>1049</v>
      </c>
      <c r="B164" t="s">
        <v>1050</v>
      </c>
      <c r="C164" t="s">
        <v>1051</v>
      </c>
      <c r="D164" t="s">
        <v>31</v>
      </c>
      <c r="E164" t="s">
        <v>1052</v>
      </c>
      <c r="F164" t="s">
        <v>637</v>
      </c>
      <c r="G164" t="s">
        <v>1053</v>
      </c>
    </row>
    <row r="165" spans="1:7" x14ac:dyDescent="0.35">
      <c r="A165" t="s">
        <v>1054</v>
      </c>
      <c r="B165" t="s">
        <v>1055</v>
      </c>
      <c r="C165" t="s">
        <v>1056</v>
      </c>
      <c r="D165" t="s">
        <v>534</v>
      </c>
      <c r="E165" t="s">
        <v>1057</v>
      </c>
      <c r="F165" t="s">
        <v>1058</v>
      </c>
      <c r="G165" t="s">
        <v>1059</v>
      </c>
    </row>
    <row r="166" spans="1:7" x14ac:dyDescent="0.35">
      <c r="A166" t="s">
        <v>1060</v>
      </c>
      <c r="B166" t="s">
        <v>1061</v>
      </c>
      <c r="C166" t="s">
        <v>1062</v>
      </c>
      <c r="D166" t="s">
        <v>123</v>
      </c>
      <c r="E166" t="s">
        <v>1063</v>
      </c>
      <c r="F166" t="s">
        <v>1064</v>
      </c>
      <c r="G166" t="s">
        <v>1065</v>
      </c>
    </row>
    <row r="167" spans="1:7" x14ac:dyDescent="0.35">
      <c r="A167" t="s">
        <v>1066</v>
      </c>
      <c r="B167" t="s">
        <v>1067</v>
      </c>
      <c r="C167" t="s">
        <v>1068</v>
      </c>
      <c r="D167" t="s">
        <v>24</v>
      </c>
      <c r="E167" t="s">
        <v>1069</v>
      </c>
      <c r="F167" t="s">
        <v>1070</v>
      </c>
      <c r="G167" t="s">
        <v>1071</v>
      </c>
    </row>
    <row r="168" spans="1:7" x14ac:dyDescent="0.35">
      <c r="A168" t="s">
        <v>1072</v>
      </c>
      <c r="B168" t="s">
        <v>1073</v>
      </c>
      <c r="C168" t="s">
        <v>1074</v>
      </c>
      <c r="D168" t="s">
        <v>686</v>
      </c>
      <c r="E168" t="s">
        <v>1075</v>
      </c>
      <c r="F168" t="s">
        <v>1076</v>
      </c>
      <c r="G168" t="s">
        <v>1077</v>
      </c>
    </row>
    <row r="169" spans="1:7" x14ac:dyDescent="0.35">
      <c r="A169" t="s">
        <v>1078</v>
      </c>
      <c r="B169" t="s">
        <v>1079</v>
      </c>
      <c r="C169" t="s">
        <v>1080</v>
      </c>
      <c r="D169" t="s">
        <v>31</v>
      </c>
      <c r="E169" t="s">
        <v>1081</v>
      </c>
      <c r="F169" t="s">
        <v>1082</v>
      </c>
      <c r="G169" t="s">
        <v>1083</v>
      </c>
    </row>
    <row r="170" spans="1:7" x14ac:dyDescent="0.35">
      <c r="A170" t="s">
        <v>1084</v>
      </c>
      <c r="B170" t="s">
        <v>1085</v>
      </c>
      <c r="C170" t="s">
        <v>1086</v>
      </c>
      <c r="D170" t="s">
        <v>49</v>
      </c>
      <c r="E170" t="s">
        <v>1087</v>
      </c>
      <c r="F170" t="s">
        <v>1088</v>
      </c>
      <c r="G170" t="s">
        <v>1089</v>
      </c>
    </row>
    <row r="171" spans="1:7" x14ac:dyDescent="0.35">
      <c r="A171" t="s">
        <v>1090</v>
      </c>
      <c r="B171" t="s">
        <v>1091</v>
      </c>
      <c r="C171" t="s">
        <v>1092</v>
      </c>
      <c r="D171" t="s">
        <v>1093</v>
      </c>
      <c r="E171" t="s">
        <v>1094</v>
      </c>
      <c r="F171" t="s">
        <v>1095</v>
      </c>
      <c r="G171" t="s">
        <v>1096</v>
      </c>
    </row>
    <row r="172" spans="1:7" x14ac:dyDescent="0.35">
      <c r="A172" t="s">
        <v>1097</v>
      </c>
      <c r="B172" t="s">
        <v>1098</v>
      </c>
      <c r="C172" t="s">
        <v>1099</v>
      </c>
      <c r="D172" t="s">
        <v>329</v>
      </c>
      <c r="E172" t="s">
        <v>1100</v>
      </c>
      <c r="F172" t="s">
        <v>1101</v>
      </c>
      <c r="G172" t="s">
        <v>1102</v>
      </c>
    </row>
    <row r="173" spans="1:7" x14ac:dyDescent="0.35">
      <c r="A173" t="s">
        <v>1103</v>
      </c>
      <c r="B173" t="s">
        <v>1104</v>
      </c>
      <c r="C173" t="s">
        <v>1105</v>
      </c>
      <c r="D173" t="s">
        <v>1106</v>
      </c>
      <c r="E173" t="s">
        <v>1107</v>
      </c>
      <c r="F173" t="s">
        <v>1108</v>
      </c>
      <c r="G173" t="s">
        <v>1109</v>
      </c>
    </row>
    <row r="174" spans="1:7" x14ac:dyDescent="0.35">
      <c r="A174" t="s">
        <v>1110</v>
      </c>
      <c r="B174" t="s">
        <v>1111</v>
      </c>
      <c r="C174" t="s">
        <v>1112</v>
      </c>
      <c r="D174" t="s">
        <v>615</v>
      </c>
      <c r="E174" t="s">
        <v>1113</v>
      </c>
      <c r="F174" t="s">
        <v>1114</v>
      </c>
      <c r="G174" t="s">
        <v>1115</v>
      </c>
    </row>
    <row r="175" spans="1:7" x14ac:dyDescent="0.35">
      <c r="A175" t="s">
        <v>1116</v>
      </c>
      <c r="B175" t="s">
        <v>1117</v>
      </c>
      <c r="C175" t="s">
        <v>1118</v>
      </c>
      <c r="D175" t="s">
        <v>257</v>
      </c>
      <c r="E175" t="s">
        <v>1119</v>
      </c>
      <c r="F175" t="s">
        <v>1120</v>
      </c>
      <c r="G175" t="s">
        <v>1121</v>
      </c>
    </row>
    <row r="176" spans="1:7" x14ac:dyDescent="0.35">
      <c r="A176" t="s">
        <v>1122</v>
      </c>
      <c r="B176" t="s">
        <v>1123</v>
      </c>
      <c r="C176" t="s">
        <v>1124</v>
      </c>
      <c r="D176" t="s">
        <v>1125</v>
      </c>
      <c r="E176" t="s">
        <v>1126</v>
      </c>
      <c r="F176" t="s">
        <v>1127</v>
      </c>
      <c r="G176" t="s">
        <v>1128</v>
      </c>
    </row>
    <row r="177" spans="1:7" x14ac:dyDescent="0.35">
      <c r="A177" t="s">
        <v>1129</v>
      </c>
      <c r="B177" t="s">
        <v>1130</v>
      </c>
      <c r="C177" t="s">
        <v>1131</v>
      </c>
      <c r="D177" t="s">
        <v>474</v>
      </c>
      <c r="E177" t="s">
        <v>1132</v>
      </c>
      <c r="F177" t="s">
        <v>1133</v>
      </c>
      <c r="G177" t="s">
        <v>1134</v>
      </c>
    </row>
    <row r="178" spans="1:7" x14ac:dyDescent="0.35">
      <c r="A178" t="s">
        <v>1135</v>
      </c>
      <c r="B178" t="s">
        <v>1136</v>
      </c>
      <c r="C178" t="s">
        <v>1137</v>
      </c>
      <c r="D178" t="s">
        <v>932</v>
      </c>
      <c r="E178" t="s">
        <v>1138</v>
      </c>
      <c r="F178" t="s">
        <v>1139</v>
      </c>
      <c r="G178" t="s">
        <v>1140</v>
      </c>
    </row>
    <row r="179" spans="1:7" x14ac:dyDescent="0.35">
      <c r="A179" t="s">
        <v>1141</v>
      </c>
      <c r="B179" t="s">
        <v>1142</v>
      </c>
      <c r="C179" t="s">
        <v>1143</v>
      </c>
      <c r="D179" t="s">
        <v>1144</v>
      </c>
      <c r="E179" t="s">
        <v>1145</v>
      </c>
      <c r="F179" t="s">
        <v>1146</v>
      </c>
      <c r="G179" t="s">
        <v>1147</v>
      </c>
    </row>
    <row r="180" spans="1:7" x14ac:dyDescent="0.35">
      <c r="A180" t="s">
        <v>1148</v>
      </c>
      <c r="B180" t="s">
        <v>1149</v>
      </c>
      <c r="C180" t="s">
        <v>1150</v>
      </c>
      <c r="D180" t="s">
        <v>343</v>
      </c>
      <c r="E180" t="s">
        <v>1151</v>
      </c>
      <c r="F180" t="s">
        <v>637</v>
      </c>
      <c r="G180" t="s">
        <v>1152</v>
      </c>
    </row>
    <row r="181" spans="1:7" x14ac:dyDescent="0.35">
      <c r="A181" t="s">
        <v>1153</v>
      </c>
      <c r="B181" t="s">
        <v>1154</v>
      </c>
      <c r="C181" t="s">
        <v>1155</v>
      </c>
      <c r="D181" t="s">
        <v>322</v>
      </c>
      <c r="E181" t="s">
        <v>1156</v>
      </c>
      <c r="F181" t="s">
        <v>1157</v>
      </c>
      <c r="G181" t="s">
        <v>1158</v>
      </c>
    </row>
    <row r="182" spans="1:7" x14ac:dyDescent="0.35">
      <c r="A182" t="s">
        <v>1159</v>
      </c>
      <c r="B182" t="s">
        <v>1160</v>
      </c>
      <c r="C182" t="s">
        <v>1161</v>
      </c>
      <c r="D182" t="s">
        <v>169</v>
      </c>
      <c r="E182" t="s">
        <v>1162</v>
      </c>
      <c r="F182" t="s">
        <v>1163</v>
      </c>
      <c r="G182" t="s">
        <v>1164</v>
      </c>
    </row>
    <row r="183" spans="1:7" x14ac:dyDescent="0.35">
      <c r="A183" t="s">
        <v>1165</v>
      </c>
      <c r="B183" t="s">
        <v>1165</v>
      </c>
      <c r="C183" t="s">
        <v>1166</v>
      </c>
      <c r="D183" t="s">
        <v>686</v>
      </c>
      <c r="E183" t="s">
        <v>1167</v>
      </c>
      <c r="F183" t="s">
        <v>1168</v>
      </c>
      <c r="G183" t="s">
        <v>1169</v>
      </c>
    </row>
    <row r="184" spans="1:7" x14ac:dyDescent="0.35">
      <c r="A184" t="s">
        <v>1170</v>
      </c>
      <c r="B184" t="s">
        <v>1170</v>
      </c>
      <c r="C184" t="s">
        <v>1171</v>
      </c>
      <c r="D184" t="s">
        <v>404</v>
      </c>
      <c r="E184" t="s">
        <v>1172</v>
      </c>
      <c r="F184" t="s">
        <v>1173</v>
      </c>
      <c r="G184" t="s">
        <v>1174</v>
      </c>
    </row>
    <row r="185" spans="1:7" x14ac:dyDescent="0.35">
      <c r="A185" t="s">
        <v>1175</v>
      </c>
      <c r="B185" t="s">
        <v>1176</v>
      </c>
      <c r="C185" t="s">
        <v>1177</v>
      </c>
      <c r="D185" t="s">
        <v>411</v>
      </c>
      <c r="E185" t="s">
        <v>1178</v>
      </c>
      <c r="F185" t="s">
        <v>1179</v>
      </c>
      <c r="G185" t="s">
        <v>1180</v>
      </c>
    </row>
    <row r="186" spans="1:7" x14ac:dyDescent="0.35">
      <c r="A186" t="s">
        <v>1181</v>
      </c>
      <c r="B186" t="s">
        <v>1182</v>
      </c>
      <c r="C186" t="s">
        <v>1183</v>
      </c>
      <c r="D186" t="s">
        <v>37</v>
      </c>
      <c r="E186" t="s">
        <v>1184</v>
      </c>
      <c r="F186" t="s">
        <v>1185</v>
      </c>
      <c r="G186" t="s">
        <v>1186</v>
      </c>
    </row>
    <row r="187" spans="1:7" x14ac:dyDescent="0.35">
      <c r="A187" t="s">
        <v>1187</v>
      </c>
      <c r="B187" t="s">
        <v>1188</v>
      </c>
      <c r="C187" t="s">
        <v>1189</v>
      </c>
      <c r="D187" t="s">
        <v>17</v>
      </c>
      <c r="E187" t="s">
        <v>1190</v>
      </c>
      <c r="F187" t="s">
        <v>1191</v>
      </c>
      <c r="G187" t="s">
        <v>1192</v>
      </c>
    </row>
    <row r="188" spans="1:7" x14ac:dyDescent="0.35">
      <c r="A188" t="s">
        <v>1193</v>
      </c>
      <c r="B188" t="s">
        <v>1193</v>
      </c>
      <c r="C188" t="s">
        <v>1194</v>
      </c>
      <c r="D188" t="s">
        <v>49</v>
      </c>
      <c r="E188" t="s">
        <v>1195</v>
      </c>
      <c r="F188" t="s">
        <v>1196</v>
      </c>
      <c r="G188" t="s">
        <v>1197</v>
      </c>
    </row>
    <row r="189" spans="1:7" x14ac:dyDescent="0.35">
      <c r="A189" t="s">
        <v>1198</v>
      </c>
      <c r="B189" t="s">
        <v>1199</v>
      </c>
      <c r="C189" t="s">
        <v>1200</v>
      </c>
      <c r="D189" t="s">
        <v>787</v>
      </c>
      <c r="E189" t="s">
        <v>1201</v>
      </c>
      <c r="F189" t="s">
        <v>1202</v>
      </c>
      <c r="G189" t="s">
        <v>1203</v>
      </c>
    </row>
    <row r="190" spans="1:7" x14ac:dyDescent="0.35">
      <c r="A190" t="s">
        <v>1204</v>
      </c>
      <c r="B190" t="s">
        <v>1205</v>
      </c>
      <c r="C190" t="s">
        <v>1206</v>
      </c>
      <c r="D190" t="s">
        <v>181</v>
      </c>
      <c r="E190" t="s">
        <v>1207</v>
      </c>
      <c r="F190" t="s">
        <v>1208</v>
      </c>
      <c r="G190" t="s">
        <v>1209</v>
      </c>
    </row>
    <row r="191" spans="1:7" x14ac:dyDescent="0.35">
      <c r="A191" t="s">
        <v>1210</v>
      </c>
      <c r="B191" t="s">
        <v>1211</v>
      </c>
      <c r="C191" t="s">
        <v>423</v>
      </c>
      <c r="D191" t="s">
        <v>31</v>
      </c>
      <c r="E191" t="s">
        <v>1212</v>
      </c>
      <c r="F191" t="s">
        <v>637</v>
      </c>
      <c r="G191" t="s">
        <v>1213</v>
      </c>
    </row>
    <row r="192" spans="1:7" x14ac:dyDescent="0.35">
      <c r="A192" t="s">
        <v>1214</v>
      </c>
      <c r="B192" t="s">
        <v>1215</v>
      </c>
      <c r="C192" t="s">
        <v>1216</v>
      </c>
      <c r="D192" t="s">
        <v>615</v>
      </c>
      <c r="E192" t="s">
        <v>1217</v>
      </c>
      <c r="F192" t="s">
        <v>1218</v>
      </c>
      <c r="G192" t="s">
        <v>1065</v>
      </c>
    </row>
    <row r="193" spans="1:7" x14ac:dyDescent="0.35">
      <c r="A193" t="s">
        <v>1219</v>
      </c>
      <c r="B193" t="s">
        <v>1220</v>
      </c>
      <c r="C193" t="s">
        <v>1221</v>
      </c>
      <c r="D193" t="s">
        <v>43</v>
      </c>
      <c r="E193" t="s">
        <v>1222</v>
      </c>
      <c r="F193" t="s">
        <v>1223</v>
      </c>
      <c r="G193" t="s">
        <v>1224</v>
      </c>
    </row>
    <row r="194" spans="1:7" x14ac:dyDescent="0.35">
      <c r="A194" t="s">
        <v>1225</v>
      </c>
      <c r="B194" t="s">
        <v>1226</v>
      </c>
      <c r="C194" t="s">
        <v>1227</v>
      </c>
      <c r="D194" t="s">
        <v>49</v>
      </c>
      <c r="E194" t="s">
        <v>1228</v>
      </c>
      <c r="F194" t="s">
        <v>1229</v>
      </c>
      <c r="G194" t="s">
        <v>1230</v>
      </c>
    </row>
    <row r="195" spans="1:7" x14ac:dyDescent="0.35">
      <c r="A195" t="s">
        <v>1231</v>
      </c>
      <c r="B195" t="s">
        <v>1232</v>
      </c>
      <c r="C195" t="s">
        <v>1233</v>
      </c>
      <c r="D195" t="s">
        <v>195</v>
      </c>
      <c r="E195" t="s">
        <v>1234</v>
      </c>
      <c r="F195" t="s">
        <v>1235</v>
      </c>
      <c r="G195" t="s">
        <v>1236</v>
      </c>
    </row>
    <row r="196" spans="1:7" x14ac:dyDescent="0.35">
      <c r="A196" t="s">
        <v>1237</v>
      </c>
      <c r="B196" t="s">
        <v>1238</v>
      </c>
      <c r="C196" t="s">
        <v>1239</v>
      </c>
      <c r="D196" t="s">
        <v>282</v>
      </c>
      <c r="E196" t="s">
        <v>1240</v>
      </c>
      <c r="F196" t="s">
        <v>1241</v>
      </c>
      <c r="G196" t="s">
        <v>597</v>
      </c>
    </row>
    <row r="197" spans="1:7" x14ac:dyDescent="0.35">
      <c r="A197" t="s">
        <v>1242</v>
      </c>
      <c r="B197" t="s">
        <v>1243</v>
      </c>
      <c r="C197" t="s">
        <v>1244</v>
      </c>
      <c r="D197" t="s">
        <v>49</v>
      </c>
      <c r="E197" t="s">
        <v>1245</v>
      </c>
      <c r="F197" t="s">
        <v>1246</v>
      </c>
      <c r="G197" t="s">
        <v>1247</v>
      </c>
    </row>
    <row r="198" spans="1:7" x14ac:dyDescent="0.35">
      <c r="A198" t="s">
        <v>1248</v>
      </c>
      <c r="B198" t="s">
        <v>1249</v>
      </c>
      <c r="C198" t="s">
        <v>1250</v>
      </c>
      <c r="D198" t="s">
        <v>882</v>
      </c>
      <c r="E198" t="s">
        <v>1251</v>
      </c>
      <c r="F198" t="s">
        <v>1252</v>
      </c>
      <c r="G198" t="s">
        <v>1253</v>
      </c>
    </row>
    <row r="199" spans="1:7" x14ac:dyDescent="0.35">
      <c r="A199" t="s">
        <v>1254</v>
      </c>
      <c r="B199" t="s">
        <v>1255</v>
      </c>
      <c r="C199" t="s">
        <v>1256</v>
      </c>
      <c r="D199" t="s">
        <v>839</v>
      </c>
      <c r="E199" t="s">
        <v>1257</v>
      </c>
      <c r="F199" t="s">
        <v>1258</v>
      </c>
      <c r="G199" t="s">
        <v>1259</v>
      </c>
    </row>
    <row r="200" spans="1:7" x14ac:dyDescent="0.35">
      <c r="A200" t="s">
        <v>1260</v>
      </c>
      <c r="B200" t="s">
        <v>1261</v>
      </c>
      <c r="C200" t="s">
        <v>1262</v>
      </c>
      <c r="D200" t="s">
        <v>397</v>
      </c>
      <c r="E200" t="s">
        <v>1263</v>
      </c>
      <c r="F200" t="s">
        <v>1264</v>
      </c>
      <c r="G200" t="s">
        <v>1265</v>
      </c>
    </row>
    <row r="201" spans="1:7" x14ac:dyDescent="0.35">
      <c r="A201" t="s">
        <v>1266</v>
      </c>
      <c r="B201" t="s">
        <v>1267</v>
      </c>
      <c r="C201" t="s">
        <v>1268</v>
      </c>
      <c r="D201" t="s">
        <v>17</v>
      </c>
      <c r="E201" t="s">
        <v>1269</v>
      </c>
      <c r="F201" t="s">
        <v>1270</v>
      </c>
      <c r="G201" t="s">
        <v>1271</v>
      </c>
    </row>
    <row r="202" spans="1:7" x14ac:dyDescent="0.35">
      <c r="A202" t="s">
        <v>1272</v>
      </c>
      <c r="B202" t="s">
        <v>1273</v>
      </c>
      <c r="C202" t="s">
        <v>1274</v>
      </c>
      <c r="D202" t="s">
        <v>686</v>
      </c>
      <c r="E202" t="s">
        <v>1275</v>
      </c>
      <c r="F202" t="s">
        <v>1276</v>
      </c>
      <c r="G202" t="s">
        <v>1277</v>
      </c>
    </row>
    <row r="203" spans="1:7" x14ac:dyDescent="0.35">
      <c r="A203" t="s">
        <v>1278</v>
      </c>
      <c r="B203" t="s">
        <v>1279</v>
      </c>
      <c r="C203" t="s">
        <v>1280</v>
      </c>
      <c r="D203" t="s">
        <v>49</v>
      </c>
      <c r="E203" t="s">
        <v>1281</v>
      </c>
      <c r="F203" t="s">
        <v>1282</v>
      </c>
      <c r="G203" t="s">
        <v>1283</v>
      </c>
    </row>
    <row r="204" spans="1:7" x14ac:dyDescent="0.35">
      <c r="A204" t="s">
        <v>1284</v>
      </c>
      <c r="B204" t="s">
        <v>1285</v>
      </c>
      <c r="C204" t="s">
        <v>1286</v>
      </c>
      <c r="D204" t="s">
        <v>514</v>
      </c>
      <c r="E204" t="s">
        <v>1287</v>
      </c>
      <c r="F204" t="s">
        <v>1288</v>
      </c>
      <c r="G204" t="s">
        <v>597</v>
      </c>
    </row>
    <row r="205" spans="1:7" x14ac:dyDescent="0.35">
      <c r="A205" t="s">
        <v>1289</v>
      </c>
      <c r="B205" t="s">
        <v>1289</v>
      </c>
      <c r="C205" t="s">
        <v>1290</v>
      </c>
      <c r="D205" t="s">
        <v>1291</v>
      </c>
      <c r="E205" t="s">
        <v>1292</v>
      </c>
      <c r="F205" t="s">
        <v>1293</v>
      </c>
      <c r="G205" t="s">
        <v>1294</v>
      </c>
    </row>
    <row r="206" spans="1:7" x14ac:dyDescent="0.35">
      <c r="A206" t="s">
        <v>1295</v>
      </c>
      <c r="B206" t="s">
        <v>1296</v>
      </c>
      <c r="C206" t="s">
        <v>1297</v>
      </c>
      <c r="D206" t="s">
        <v>1298</v>
      </c>
      <c r="E206" t="s">
        <v>1299</v>
      </c>
      <c r="F206" t="s">
        <v>1300</v>
      </c>
      <c r="G206" t="s">
        <v>1301</v>
      </c>
    </row>
    <row r="207" spans="1:7" x14ac:dyDescent="0.35">
      <c r="A207" t="s">
        <v>1302</v>
      </c>
      <c r="B207" t="s">
        <v>1303</v>
      </c>
      <c r="C207" t="s">
        <v>1304</v>
      </c>
      <c r="D207" t="s">
        <v>615</v>
      </c>
      <c r="E207" t="s">
        <v>1305</v>
      </c>
      <c r="F207" t="s">
        <v>1306</v>
      </c>
      <c r="G207" t="s">
        <v>1209</v>
      </c>
    </row>
    <row r="208" spans="1:7" x14ac:dyDescent="0.35">
      <c r="A208" t="s">
        <v>1307</v>
      </c>
      <c r="B208" t="s">
        <v>1308</v>
      </c>
      <c r="C208" t="s">
        <v>1309</v>
      </c>
      <c r="D208" t="s">
        <v>1310</v>
      </c>
      <c r="E208" t="s">
        <v>1311</v>
      </c>
      <c r="F208" t="s">
        <v>1312</v>
      </c>
      <c r="G208" t="s">
        <v>1313</v>
      </c>
    </row>
    <row r="209" spans="1:7" x14ac:dyDescent="0.35">
      <c r="A209" t="s">
        <v>1314</v>
      </c>
      <c r="B209" t="s">
        <v>1315</v>
      </c>
      <c r="C209" t="s">
        <v>1316</v>
      </c>
      <c r="D209" t="s">
        <v>1317</v>
      </c>
      <c r="E209" t="s">
        <v>1318</v>
      </c>
      <c r="F209" t="s">
        <v>1319</v>
      </c>
      <c r="G209" t="s">
        <v>1320</v>
      </c>
    </row>
    <row r="210" spans="1:7" x14ac:dyDescent="0.35">
      <c r="A210" t="s">
        <v>1321</v>
      </c>
      <c r="B210" t="s">
        <v>1322</v>
      </c>
      <c r="C210" t="s">
        <v>1323</v>
      </c>
      <c r="D210" t="s">
        <v>188</v>
      </c>
      <c r="E210" t="s">
        <v>1324</v>
      </c>
      <c r="F210" t="s">
        <v>1325</v>
      </c>
      <c r="G210" t="s">
        <v>1326</v>
      </c>
    </row>
    <row r="211" spans="1:7" x14ac:dyDescent="0.35">
      <c r="A211" t="s">
        <v>1327</v>
      </c>
      <c r="B211" t="s">
        <v>1328</v>
      </c>
      <c r="C211" t="s">
        <v>1329</v>
      </c>
      <c r="D211" t="s">
        <v>1330</v>
      </c>
      <c r="E211" t="s">
        <v>1331</v>
      </c>
      <c r="F211" t="s">
        <v>1332</v>
      </c>
      <c r="G211" t="s">
        <v>1333</v>
      </c>
    </row>
    <row r="212" spans="1:7" x14ac:dyDescent="0.35">
      <c r="A212" t="s">
        <v>1334</v>
      </c>
      <c r="B212" t="s">
        <v>1335</v>
      </c>
      <c r="C212" t="s">
        <v>1336</v>
      </c>
      <c r="D212" t="s">
        <v>49</v>
      </c>
      <c r="E212" t="s">
        <v>1337</v>
      </c>
      <c r="F212" t="s">
        <v>1338</v>
      </c>
      <c r="G212" t="s">
        <v>1339</v>
      </c>
    </row>
    <row r="213" spans="1:7" x14ac:dyDescent="0.35">
      <c r="A213" t="s">
        <v>1340</v>
      </c>
      <c r="B213" t="s">
        <v>1341</v>
      </c>
      <c r="C213" t="s">
        <v>1342</v>
      </c>
      <c r="D213" t="s">
        <v>1343</v>
      </c>
      <c r="E213" t="s">
        <v>1344</v>
      </c>
      <c r="F213" t="s">
        <v>1345</v>
      </c>
      <c r="G213" t="s">
        <v>1346</v>
      </c>
    </row>
    <row r="214" spans="1:7" x14ac:dyDescent="0.35">
      <c r="A214" t="s">
        <v>1347</v>
      </c>
      <c r="B214" t="s">
        <v>1348</v>
      </c>
      <c r="C214" t="s">
        <v>1349</v>
      </c>
      <c r="D214" t="s">
        <v>686</v>
      </c>
      <c r="E214" t="s">
        <v>1350</v>
      </c>
      <c r="F214" t="s">
        <v>1351</v>
      </c>
      <c r="G214" t="s">
        <v>1352</v>
      </c>
    </row>
    <row r="215" spans="1:7" x14ac:dyDescent="0.35">
      <c r="A215" t="s">
        <v>1353</v>
      </c>
      <c r="B215" t="s">
        <v>1354</v>
      </c>
      <c r="C215" t="s">
        <v>251</v>
      </c>
      <c r="D215" t="s">
        <v>615</v>
      </c>
      <c r="E215" t="s">
        <v>1355</v>
      </c>
      <c r="F215" t="s">
        <v>1356</v>
      </c>
      <c r="G215" t="s">
        <v>1357</v>
      </c>
    </row>
    <row r="216" spans="1:7" x14ac:dyDescent="0.35">
      <c r="A216" t="s">
        <v>1358</v>
      </c>
      <c r="B216" t="s">
        <v>1359</v>
      </c>
      <c r="C216" t="s">
        <v>1155</v>
      </c>
      <c r="D216" t="s">
        <v>773</v>
      </c>
      <c r="E216" t="s">
        <v>1360</v>
      </c>
      <c r="F216" t="s">
        <v>1361</v>
      </c>
      <c r="G216" t="s">
        <v>1362</v>
      </c>
    </row>
    <row r="217" spans="1:7" x14ac:dyDescent="0.35">
      <c r="A217" t="s">
        <v>1363</v>
      </c>
      <c r="B217" t="s">
        <v>1364</v>
      </c>
      <c r="C217" t="s">
        <v>1365</v>
      </c>
      <c r="D217" t="s">
        <v>1366</v>
      </c>
      <c r="E217" t="s">
        <v>1367</v>
      </c>
      <c r="F217" t="s">
        <v>1368</v>
      </c>
      <c r="G217" t="s">
        <v>1369</v>
      </c>
    </row>
    <row r="218" spans="1:7" x14ac:dyDescent="0.35">
      <c r="A218" t="s">
        <v>1370</v>
      </c>
      <c r="B218" t="s">
        <v>1371</v>
      </c>
      <c r="C218" t="s">
        <v>1372</v>
      </c>
      <c r="D218" t="s">
        <v>1373</v>
      </c>
      <c r="E218" t="s">
        <v>1374</v>
      </c>
      <c r="F218" t="s">
        <v>1375</v>
      </c>
      <c r="G218" t="s">
        <v>1376</v>
      </c>
    </row>
    <row r="219" spans="1:7" x14ac:dyDescent="0.35">
      <c r="A219" t="s">
        <v>1377</v>
      </c>
      <c r="B219" t="s">
        <v>1378</v>
      </c>
      <c r="C219" t="s">
        <v>1379</v>
      </c>
      <c r="D219" t="s">
        <v>49</v>
      </c>
      <c r="E219" t="s">
        <v>1380</v>
      </c>
      <c r="F219" t="s">
        <v>1381</v>
      </c>
      <c r="G219" t="s">
        <v>1382</v>
      </c>
    </row>
    <row r="220" spans="1:7" x14ac:dyDescent="0.35">
      <c r="A220" t="s">
        <v>1383</v>
      </c>
      <c r="B220" t="s">
        <v>1384</v>
      </c>
      <c r="C220" t="s">
        <v>1385</v>
      </c>
      <c r="D220" t="s">
        <v>397</v>
      </c>
      <c r="E220" t="s">
        <v>1386</v>
      </c>
      <c r="F220" t="s">
        <v>1387</v>
      </c>
      <c r="G220" t="s">
        <v>1388</v>
      </c>
    </row>
    <row r="221" spans="1:7" x14ac:dyDescent="0.35">
      <c r="A221" t="s">
        <v>1389</v>
      </c>
      <c r="B221" t="s">
        <v>1390</v>
      </c>
      <c r="C221" t="s">
        <v>1391</v>
      </c>
      <c r="D221" t="s">
        <v>49</v>
      </c>
      <c r="E221" t="s">
        <v>1392</v>
      </c>
      <c r="F221" t="s">
        <v>1393</v>
      </c>
      <c r="G221" t="s">
        <v>1394</v>
      </c>
    </row>
    <row r="222" spans="1:7" x14ac:dyDescent="0.35">
      <c r="A222" t="s">
        <v>1395</v>
      </c>
      <c r="B222" t="s">
        <v>1396</v>
      </c>
      <c r="C222" t="s">
        <v>1397</v>
      </c>
      <c r="D222" t="s">
        <v>474</v>
      </c>
      <c r="E222" t="s">
        <v>1398</v>
      </c>
      <c r="F222" t="s">
        <v>1399</v>
      </c>
      <c r="G222" t="s">
        <v>1400</v>
      </c>
    </row>
    <row r="223" spans="1:7" x14ac:dyDescent="0.35">
      <c r="A223" t="s">
        <v>1401</v>
      </c>
      <c r="B223" t="s">
        <v>1401</v>
      </c>
      <c r="C223" t="s">
        <v>1402</v>
      </c>
      <c r="D223" t="s">
        <v>31</v>
      </c>
      <c r="E223" t="s">
        <v>1403</v>
      </c>
      <c r="F223" t="s">
        <v>637</v>
      </c>
      <c r="G223" t="s">
        <v>1404</v>
      </c>
    </row>
    <row r="224" spans="1:7" x14ac:dyDescent="0.35">
      <c r="A224" t="s">
        <v>1405</v>
      </c>
      <c r="B224" t="s">
        <v>1406</v>
      </c>
      <c r="C224" t="s">
        <v>1407</v>
      </c>
      <c r="D224" t="s">
        <v>49</v>
      </c>
      <c r="E224" t="s">
        <v>1408</v>
      </c>
      <c r="F224" t="s">
        <v>1409</v>
      </c>
      <c r="G224" t="s">
        <v>1410</v>
      </c>
    </row>
    <row r="225" spans="1:7" x14ac:dyDescent="0.35">
      <c r="A225" t="s">
        <v>1411</v>
      </c>
      <c r="B225" t="s">
        <v>1412</v>
      </c>
      <c r="C225" t="s">
        <v>1413</v>
      </c>
      <c r="D225" t="s">
        <v>195</v>
      </c>
      <c r="E225" t="s">
        <v>1414</v>
      </c>
      <c r="F225" t="s">
        <v>1415</v>
      </c>
      <c r="G225" t="s">
        <v>1416</v>
      </c>
    </row>
    <row r="226" spans="1:7" x14ac:dyDescent="0.35">
      <c r="A226" t="s">
        <v>1417</v>
      </c>
      <c r="B226" t="s">
        <v>1418</v>
      </c>
      <c r="C226" t="s">
        <v>1419</v>
      </c>
      <c r="D226" t="s">
        <v>686</v>
      </c>
      <c r="E226" t="s">
        <v>1420</v>
      </c>
      <c r="F226" t="s">
        <v>1421</v>
      </c>
      <c r="G226" t="s">
        <v>1422</v>
      </c>
    </row>
    <row r="227" spans="1:7" x14ac:dyDescent="0.35">
      <c r="A227" t="s">
        <v>1423</v>
      </c>
      <c r="B227" t="s">
        <v>1424</v>
      </c>
      <c r="C227" t="s">
        <v>1425</v>
      </c>
      <c r="D227" t="s">
        <v>302</v>
      </c>
      <c r="E227" t="s">
        <v>1426</v>
      </c>
      <c r="F227" t="s">
        <v>1427</v>
      </c>
      <c r="G227" t="s">
        <v>597</v>
      </c>
    </row>
    <row r="228" spans="1:7" x14ac:dyDescent="0.35">
      <c r="A228" t="s">
        <v>1428</v>
      </c>
      <c r="B228" t="s">
        <v>1429</v>
      </c>
      <c r="C228" t="s">
        <v>1430</v>
      </c>
      <c r="D228" t="s">
        <v>123</v>
      </c>
      <c r="E228" t="s">
        <v>1431</v>
      </c>
      <c r="F228" t="s">
        <v>1432</v>
      </c>
      <c r="G228" t="s">
        <v>1433</v>
      </c>
    </row>
    <row r="229" spans="1:7" x14ac:dyDescent="0.35">
      <c r="A229" t="s">
        <v>1434</v>
      </c>
      <c r="B229" t="s">
        <v>1435</v>
      </c>
      <c r="C229" t="s">
        <v>1436</v>
      </c>
      <c r="D229" t="s">
        <v>96</v>
      </c>
      <c r="E229" t="s">
        <v>1437</v>
      </c>
      <c r="F229" t="s">
        <v>1438</v>
      </c>
      <c r="G229" t="s">
        <v>1439</v>
      </c>
    </row>
    <row r="230" spans="1:7" x14ac:dyDescent="0.35">
      <c r="A230" t="s">
        <v>1440</v>
      </c>
      <c r="B230" t="s">
        <v>67</v>
      </c>
      <c r="C230" t="s">
        <v>1441</v>
      </c>
      <c r="D230" t="s">
        <v>10</v>
      </c>
      <c r="E230" t="s">
        <v>1442</v>
      </c>
      <c r="F230" t="s">
        <v>1443</v>
      </c>
      <c r="G230" t="s">
        <v>1444</v>
      </c>
    </row>
    <row r="231" spans="1:7" x14ac:dyDescent="0.35">
      <c r="A231" t="s">
        <v>1445</v>
      </c>
      <c r="B231" t="s">
        <v>1445</v>
      </c>
      <c r="C231" t="s">
        <v>1446</v>
      </c>
      <c r="D231" t="s">
        <v>1447</v>
      </c>
      <c r="E231" t="s">
        <v>1448</v>
      </c>
      <c r="F231" t="s">
        <v>1449</v>
      </c>
      <c r="G231" t="s">
        <v>1450</v>
      </c>
    </row>
    <row r="232" spans="1:7" x14ac:dyDescent="0.35">
      <c r="A232" t="s">
        <v>1451</v>
      </c>
      <c r="B232" t="s">
        <v>1452</v>
      </c>
      <c r="C232" t="s">
        <v>1453</v>
      </c>
      <c r="D232" t="s">
        <v>181</v>
      </c>
      <c r="E232" t="s">
        <v>1454</v>
      </c>
      <c r="F232" t="s">
        <v>1455</v>
      </c>
      <c r="G232" t="s">
        <v>1456</v>
      </c>
    </row>
    <row r="233" spans="1:7" x14ac:dyDescent="0.35">
      <c r="A233" t="s">
        <v>1457</v>
      </c>
      <c r="B233" t="s">
        <v>1458</v>
      </c>
      <c r="C233" t="s">
        <v>1459</v>
      </c>
      <c r="D233" t="s">
        <v>992</v>
      </c>
      <c r="E233" t="s">
        <v>1460</v>
      </c>
      <c r="F233" t="s">
        <v>1461</v>
      </c>
      <c r="G233" t="s">
        <v>1462</v>
      </c>
    </row>
    <row r="234" spans="1:7" x14ac:dyDescent="0.35">
      <c r="A234" t="s">
        <v>1463</v>
      </c>
      <c r="B234" t="s">
        <v>1464</v>
      </c>
      <c r="C234" t="s">
        <v>1465</v>
      </c>
      <c r="D234" t="s">
        <v>1466</v>
      </c>
      <c r="E234" t="s">
        <v>1467</v>
      </c>
      <c r="F234" t="s">
        <v>1468</v>
      </c>
      <c r="G234" t="s">
        <v>1469</v>
      </c>
    </row>
    <row r="235" spans="1:7" x14ac:dyDescent="0.35">
      <c r="A235" t="s">
        <v>1470</v>
      </c>
      <c r="B235" t="s">
        <v>1471</v>
      </c>
      <c r="C235" t="s">
        <v>1472</v>
      </c>
      <c r="D235" t="s">
        <v>136</v>
      </c>
      <c r="E235" t="s">
        <v>1473</v>
      </c>
      <c r="F235" t="s">
        <v>1474</v>
      </c>
      <c r="G235" t="s">
        <v>898</v>
      </c>
    </row>
    <row r="236" spans="1:7" x14ac:dyDescent="0.35">
      <c r="A236" t="s">
        <v>1475</v>
      </c>
      <c r="B236" t="s">
        <v>1476</v>
      </c>
      <c r="C236" t="s">
        <v>1477</v>
      </c>
      <c r="D236" t="s">
        <v>832</v>
      </c>
      <c r="E236" t="s">
        <v>1478</v>
      </c>
      <c r="F236" t="s">
        <v>1479</v>
      </c>
      <c r="G236" t="s">
        <v>1480</v>
      </c>
    </row>
    <row r="237" spans="1:7" x14ac:dyDescent="0.35">
      <c r="A237" t="s">
        <v>1481</v>
      </c>
      <c r="B237" t="s">
        <v>1482</v>
      </c>
      <c r="C237" t="s">
        <v>1483</v>
      </c>
      <c r="D237" t="s">
        <v>123</v>
      </c>
      <c r="E237" t="s">
        <v>1484</v>
      </c>
      <c r="F237" t="s">
        <v>1485</v>
      </c>
      <c r="G237" t="s">
        <v>1486</v>
      </c>
    </row>
    <row r="238" spans="1:7" x14ac:dyDescent="0.35">
      <c r="A238" t="s">
        <v>1487</v>
      </c>
      <c r="B238" t="s">
        <v>1487</v>
      </c>
      <c r="C238" t="s">
        <v>1488</v>
      </c>
      <c r="D238" t="s">
        <v>1489</v>
      </c>
      <c r="E238" t="s">
        <v>1490</v>
      </c>
      <c r="F238" t="s">
        <v>1491</v>
      </c>
      <c r="G238" t="s">
        <v>1492</v>
      </c>
    </row>
    <row r="239" spans="1:7" x14ac:dyDescent="0.35">
      <c r="A239" t="s">
        <v>1493</v>
      </c>
      <c r="B239" t="s">
        <v>1493</v>
      </c>
      <c r="C239" t="s">
        <v>1494</v>
      </c>
      <c r="D239" t="s">
        <v>195</v>
      </c>
      <c r="E239" t="s">
        <v>1495</v>
      </c>
      <c r="F239" t="s">
        <v>1496</v>
      </c>
      <c r="G239" t="s">
        <v>1497</v>
      </c>
    </row>
    <row r="240" spans="1:7" x14ac:dyDescent="0.35">
      <c r="A240" t="s">
        <v>1498</v>
      </c>
      <c r="B240" t="s">
        <v>1499</v>
      </c>
      <c r="C240" t="s">
        <v>1500</v>
      </c>
      <c r="D240" t="s">
        <v>1501</v>
      </c>
      <c r="E240" t="s">
        <v>1502</v>
      </c>
      <c r="F240" t="s">
        <v>1503</v>
      </c>
      <c r="G240" t="s">
        <v>1504</v>
      </c>
    </row>
    <row r="241" spans="1:7" x14ac:dyDescent="0.35">
      <c r="A241" t="s">
        <v>1505</v>
      </c>
      <c r="B241" t="s">
        <v>1506</v>
      </c>
      <c r="C241" t="s">
        <v>1507</v>
      </c>
      <c r="D241" t="s">
        <v>31</v>
      </c>
      <c r="E241" t="s">
        <v>1508</v>
      </c>
      <c r="F241" t="s">
        <v>1509</v>
      </c>
      <c r="G241" t="s">
        <v>1510</v>
      </c>
    </row>
    <row r="242" spans="1:7" x14ac:dyDescent="0.35">
      <c r="A242" t="s">
        <v>1511</v>
      </c>
      <c r="B242" t="s">
        <v>1512</v>
      </c>
      <c r="C242" t="s">
        <v>1513</v>
      </c>
      <c r="D242" t="s">
        <v>83</v>
      </c>
      <c r="E242" t="s">
        <v>1514</v>
      </c>
      <c r="F242" t="s">
        <v>1515</v>
      </c>
      <c r="G242" t="s">
        <v>1516</v>
      </c>
    </row>
    <row r="243" spans="1:7" x14ac:dyDescent="0.35">
      <c r="A243" t="s">
        <v>1517</v>
      </c>
      <c r="B243" t="s">
        <v>1518</v>
      </c>
      <c r="C243" t="s">
        <v>1519</v>
      </c>
      <c r="D243" t="s">
        <v>1501</v>
      </c>
      <c r="E243" t="s">
        <v>1520</v>
      </c>
      <c r="F243" t="s">
        <v>1521</v>
      </c>
      <c r="G243" t="s">
        <v>1522</v>
      </c>
    </row>
    <row r="244" spans="1:7" x14ac:dyDescent="0.35">
      <c r="A244" t="s">
        <v>1523</v>
      </c>
      <c r="B244" t="s">
        <v>1524</v>
      </c>
      <c r="C244" t="s">
        <v>1525</v>
      </c>
      <c r="D244" t="s">
        <v>1526</v>
      </c>
      <c r="E244" t="s">
        <v>1527</v>
      </c>
      <c r="F244" t="s">
        <v>1528</v>
      </c>
      <c r="G244" t="s">
        <v>1529</v>
      </c>
    </row>
    <row r="245" spans="1:7" x14ac:dyDescent="0.35">
      <c r="A245" t="s">
        <v>1530</v>
      </c>
      <c r="B245" t="s">
        <v>1531</v>
      </c>
      <c r="C245" t="s">
        <v>1532</v>
      </c>
      <c r="D245" t="s">
        <v>31</v>
      </c>
      <c r="E245" t="s">
        <v>1533</v>
      </c>
      <c r="F245" t="s">
        <v>637</v>
      </c>
      <c r="G245" t="s">
        <v>1534</v>
      </c>
    </row>
    <row r="246" spans="1:7" x14ac:dyDescent="0.35">
      <c r="A246" t="s">
        <v>1535</v>
      </c>
      <c r="B246" t="s">
        <v>1536</v>
      </c>
      <c r="C246" t="s">
        <v>1537</v>
      </c>
      <c r="D246" t="s">
        <v>49</v>
      </c>
      <c r="E246" t="s">
        <v>1538</v>
      </c>
      <c r="F246" t="s">
        <v>1539</v>
      </c>
      <c r="G246" t="s">
        <v>1540</v>
      </c>
    </row>
    <row r="247" spans="1:7" x14ac:dyDescent="0.35">
      <c r="A247" t="s">
        <v>1541</v>
      </c>
      <c r="B247" t="s">
        <v>1542</v>
      </c>
      <c r="C247" t="s">
        <v>1543</v>
      </c>
      <c r="D247" t="s">
        <v>1106</v>
      </c>
      <c r="E247" t="s">
        <v>1544</v>
      </c>
      <c r="F247" t="s">
        <v>1545</v>
      </c>
      <c r="G247" t="s">
        <v>1546</v>
      </c>
    </row>
    <row r="248" spans="1:7" x14ac:dyDescent="0.35">
      <c r="A248" t="s">
        <v>1547</v>
      </c>
      <c r="B248" t="s">
        <v>1548</v>
      </c>
      <c r="C248" t="s">
        <v>1549</v>
      </c>
      <c r="D248" t="s">
        <v>1550</v>
      </c>
      <c r="E248" t="s">
        <v>1551</v>
      </c>
      <c r="F248" t="s">
        <v>1552</v>
      </c>
      <c r="G248" t="s">
        <v>1553</v>
      </c>
    </row>
    <row r="249" spans="1:7" x14ac:dyDescent="0.35">
      <c r="A249" t="s">
        <v>1554</v>
      </c>
      <c r="B249" t="s">
        <v>1555</v>
      </c>
      <c r="C249" t="s">
        <v>1556</v>
      </c>
      <c r="D249" t="s">
        <v>588</v>
      </c>
      <c r="E249" t="s">
        <v>1557</v>
      </c>
      <c r="F249" t="s">
        <v>1558</v>
      </c>
      <c r="G249" t="s">
        <v>597</v>
      </c>
    </row>
    <row r="250" spans="1:7" x14ac:dyDescent="0.35">
      <c r="A250" t="s">
        <v>1559</v>
      </c>
      <c r="B250" t="s">
        <v>1560</v>
      </c>
      <c r="C250" t="s">
        <v>1561</v>
      </c>
      <c r="D250" t="s">
        <v>49</v>
      </c>
      <c r="E250" t="s">
        <v>1562</v>
      </c>
      <c r="F250" t="s">
        <v>1563</v>
      </c>
      <c r="G250" t="s">
        <v>1564</v>
      </c>
    </row>
    <row r="251" spans="1:7" x14ac:dyDescent="0.35">
      <c r="A251" t="s">
        <v>1565</v>
      </c>
      <c r="B251" t="s">
        <v>1566</v>
      </c>
      <c r="C251" t="s">
        <v>1567</v>
      </c>
      <c r="D251" t="s">
        <v>1501</v>
      </c>
      <c r="E251" t="s">
        <v>1568</v>
      </c>
      <c r="F251" t="s">
        <v>1569</v>
      </c>
      <c r="G251" t="s">
        <v>1570</v>
      </c>
    </row>
    <row r="252" spans="1:7" x14ac:dyDescent="0.35">
      <c r="A252" t="s">
        <v>1571</v>
      </c>
      <c r="B252" t="s">
        <v>1572</v>
      </c>
      <c r="C252" t="s">
        <v>1573</v>
      </c>
      <c r="D252" t="s">
        <v>705</v>
      </c>
      <c r="E252" t="s">
        <v>1574</v>
      </c>
      <c r="F252" t="s">
        <v>1575</v>
      </c>
      <c r="G252" t="s">
        <v>1576</v>
      </c>
    </row>
    <row r="253" spans="1:7" x14ac:dyDescent="0.35">
      <c r="A253" t="s">
        <v>1577</v>
      </c>
      <c r="B253" t="s">
        <v>1578</v>
      </c>
      <c r="C253" t="s">
        <v>1579</v>
      </c>
      <c r="D253" t="s">
        <v>257</v>
      </c>
      <c r="E253" t="s">
        <v>1580</v>
      </c>
      <c r="F253" t="s">
        <v>1581</v>
      </c>
      <c r="G253" t="s">
        <v>1582</v>
      </c>
    </row>
    <row r="254" spans="1:7" x14ac:dyDescent="0.35">
      <c r="A254" t="s">
        <v>1583</v>
      </c>
      <c r="B254" t="s">
        <v>1584</v>
      </c>
      <c r="C254" t="s">
        <v>1585</v>
      </c>
      <c r="D254" t="s">
        <v>282</v>
      </c>
      <c r="E254" t="s">
        <v>1586</v>
      </c>
      <c r="F254" t="s">
        <v>1587</v>
      </c>
      <c r="G254" t="s">
        <v>597</v>
      </c>
    </row>
    <row r="255" spans="1:7" x14ac:dyDescent="0.35">
      <c r="A255" t="s">
        <v>1588</v>
      </c>
      <c r="B255" t="s">
        <v>1589</v>
      </c>
      <c r="C255" t="s">
        <v>1590</v>
      </c>
      <c r="D255" t="s">
        <v>561</v>
      </c>
      <c r="E255" t="s">
        <v>1591</v>
      </c>
      <c r="F255" t="s">
        <v>1592</v>
      </c>
      <c r="G255" t="s">
        <v>1593</v>
      </c>
    </row>
    <row r="256" spans="1:7" x14ac:dyDescent="0.35">
      <c r="A256" t="s">
        <v>1594</v>
      </c>
      <c r="B256" t="s">
        <v>1595</v>
      </c>
      <c r="C256" t="s">
        <v>1596</v>
      </c>
      <c r="D256" t="s">
        <v>1597</v>
      </c>
      <c r="E256" t="s">
        <v>1598</v>
      </c>
      <c r="F256" t="s">
        <v>1599</v>
      </c>
      <c r="G256" t="s">
        <v>1600</v>
      </c>
    </row>
    <row r="257" spans="1:7" x14ac:dyDescent="0.35">
      <c r="A257" t="s">
        <v>1601</v>
      </c>
      <c r="B257" t="s">
        <v>1602</v>
      </c>
      <c r="C257" t="s">
        <v>1603</v>
      </c>
      <c r="D257" t="s">
        <v>49</v>
      </c>
      <c r="E257" t="s">
        <v>1604</v>
      </c>
      <c r="F257" t="s">
        <v>1605</v>
      </c>
      <c r="G257" t="s">
        <v>1606</v>
      </c>
    </row>
    <row r="258" spans="1:7" x14ac:dyDescent="0.35">
      <c r="A258" t="s">
        <v>1607</v>
      </c>
      <c r="B258" t="s">
        <v>1608</v>
      </c>
      <c r="C258" t="s">
        <v>1609</v>
      </c>
      <c r="D258" t="s">
        <v>839</v>
      </c>
      <c r="E258" t="s">
        <v>1610</v>
      </c>
      <c r="F258" t="s">
        <v>1611</v>
      </c>
      <c r="G258" t="s">
        <v>1612</v>
      </c>
    </row>
    <row r="259" spans="1:7" x14ac:dyDescent="0.35">
      <c r="A259" t="s">
        <v>1613</v>
      </c>
      <c r="B259" t="s">
        <v>1614</v>
      </c>
      <c r="C259" t="s">
        <v>1615</v>
      </c>
      <c r="D259" t="s">
        <v>1616</v>
      </c>
      <c r="E259" t="s">
        <v>1617</v>
      </c>
      <c r="F259" t="s">
        <v>1618</v>
      </c>
      <c r="G259" t="s">
        <v>1619</v>
      </c>
    </row>
    <row r="260" spans="1:7" x14ac:dyDescent="0.35">
      <c r="A260" t="s">
        <v>1620</v>
      </c>
      <c r="B260" t="s">
        <v>1621</v>
      </c>
      <c r="C260" t="s">
        <v>1622</v>
      </c>
      <c r="D260" t="s">
        <v>49</v>
      </c>
      <c r="E260" t="s">
        <v>1623</v>
      </c>
      <c r="F260" t="s">
        <v>1624</v>
      </c>
      <c r="G260" t="s">
        <v>1625</v>
      </c>
    </row>
    <row r="261" spans="1:7" x14ac:dyDescent="0.35">
      <c r="A261" t="s">
        <v>1626</v>
      </c>
      <c r="B261" t="s">
        <v>1627</v>
      </c>
      <c r="C261" t="s">
        <v>1628</v>
      </c>
      <c r="D261" t="s">
        <v>49</v>
      </c>
      <c r="E261" t="s">
        <v>1629</v>
      </c>
      <c r="F261" t="s">
        <v>1630</v>
      </c>
      <c r="G261" t="s">
        <v>1631</v>
      </c>
    </row>
    <row r="262" spans="1:7" x14ac:dyDescent="0.35">
      <c r="A262" t="s">
        <v>1632</v>
      </c>
      <c r="B262" t="s">
        <v>1633</v>
      </c>
      <c r="C262" t="s">
        <v>1634</v>
      </c>
      <c r="D262" t="s">
        <v>1635</v>
      </c>
      <c r="E262" t="s">
        <v>1636</v>
      </c>
      <c r="F262" t="s">
        <v>1637</v>
      </c>
      <c r="G262" t="s">
        <v>1638</v>
      </c>
    </row>
    <row r="263" spans="1:7" x14ac:dyDescent="0.35">
      <c r="A263" t="s">
        <v>1639</v>
      </c>
      <c r="B263" t="s">
        <v>1639</v>
      </c>
      <c r="C263" t="s">
        <v>1640</v>
      </c>
      <c r="D263" t="s">
        <v>1641</v>
      </c>
      <c r="E263" t="s">
        <v>1642</v>
      </c>
      <c r="F263" t="s">
        <v>1643</v>
      </c>
      <c r="G263" t="s">
        <v>597</v>
      </c>
    </row>
    <row r="264" spans="1:7" x14ac:dyDescent="0.35">
      <c r="A264" t="s">
        <v>1644</v>
      </c>
      <c r="B264" t="s">
        <v>1645</v>
      </c>
      <c r="C264" t="s">
        <v>1646</v>
      </c>
      <c r="D264" t="s">
        <v>411</v>
      </c>
      <c r="E264" t="s">
        <v>1647</v>
      </c>
      <c r="F264" t="s">
        <v>1648</v>
      </c>
      <c r="G264" t="s">
        <v>1649</v>
      </c>
    </row>
    <row r="265" spans="1:7" x14ac:dyDescent="0.35">
      <c r="A265" t="s">
        <v>1650</v>
      </c>
      <c r="B265" t="s">
        <v>1651</v>
      </c>
      <c r="C265" t="s">
        <v>1652</v>
      </c>
      <c r="D265" t="s">
        <v>169</v>
      </c>
      <c r="E265" t="s">
        <v>1653</v>
      </c>
      <c r="F265" t="s">
        <v>1654</v>
      </c>
      <c r="G265" t="s">
        <v>1655</v>
      </c>
    </row>
    <row r="266" spans="1:7" x14ac:dyDescent="0.35">
      <c r="A266" t="s">
        <v>1656</v>
      </c>
      <c r="B266" t="s">
        <v>1657</v>
      </c>
      <c r="C266" t="s">
        <v>1658</v>
      </c>
      <c r="D266" t="s">
        <v>116</v>
      </c>
      <c r="E266" t="s">
        <v>1659</v>
      </c>
      <c r="F266" t="s">
        <v>1660</v>
      </c>
      <c r="G266" t="s">
        <v>1661</v>
      </c>
    </row>
    <row r="267" spans="1:7" x14ac:dyDescent="0.35">
      <c r="A267" t="s">
        <v>1662</v>
      </c>
      <c r="B267" t="s">
        <v>1663</v>
      </c>
      <c r="C267" t="s">
        <v>1664</v>
      </c>
      <c r="D267" t="s">
        <v>1665</v>
      </c>
      <c r="E267" t="s">
        <v>1666</v>
      </c>
      <c r="F267" t="s">
        <v>1667</v>
      </c>
      <c r="G267" t="s">
        <v>1668</v>
      </c>
    </row>
    <row r="268" spans="1:7" x14ac:dyDescent="0.35">
      <c r="A268" t="s">
        <v>1669</v>
      </c>
      <c r="B268" t="s">
        <v>1670</v>
      </c>
      <c r="C268" t="s">
        <v>1671</v>
      </c>
      <c r="D268" t="s">
        <v>17</v>
      </c>
      <c r="E268" t="s">
        <v>1672</v>
      </c>
      <c r="F268" t="s">
        <v>1673</v>
      </c>
      <c r="G268" t="s">
        <v>1674</v>
      </c>
    </row>
    <row r="269" spans="1:7" x14ac:dyDescent="0.35">
      <c r="A269" t="s">
        <v>1675</v>
      </c>
      <c r="B269" t="s">
        <v>1676</v>
      </c>
      <c r="C269" t="s">
        <v>1677</v>
      </c>
      <c r="D269" t="s">
        <v>1678</v>
      </c>
      <c r="E269" t="s">
        <v>1679</v>
      </c>
      <c r="F269" t="s">
        <v>1680</v>
      </c>
      <c r="G269" t="s">
        <v>1681</v>
      </c>
    </row>
    <row r="270" spans="1:7" x14ac:dyDescent="0.35">
      <c r="A270" t="s">
        <v>1682</v>
      </c>
      <c r="B270" t="s">
        <v>1683</v>
      </c>
      <c r="C270" t="s">
        <v>1684</v>
      </c>
      <c r="D270" t="s">
        <v>309</v>
      </c>
      <c r="E270" t="s">
        <v>1685</v>
      </c>
      <c r="F270" t="s">
        <v>1686</v>
      </c>
      <c r="G270" t="s">
        <v>1687</v>
      </c>
    </row>
    <row r="271" spans="1:7" x14ac:dyDescent="0.35">
      <c r="A271" t="s">
        <v>1688</v>
      </c>
      <c r="B271" t="s">
        <v>1689</v>
      </c>
      <c r="C271" t="s">
        <v>1690</v>
      </c>
      <c r="D271" t="s">
        <v>49</v>
      </c>
      <c r="E271" t="s">
        <v>1691</v>
      </c>
      <c r="F271" t="s">
        <v>1692</v>
      </c>
      <c r="G271" t="s">
        <v>1693</v>
      </c>
    </row>
    <row r="272" spans="1:7" x14ac:dyDescent="0.35">
      <c r="A272" t="s">
        <v>1694</v>
      </c>
      <c r="B272" t="s">
        <v>1695</v>
      </c>
      <c r="C272" t="s">
        <v>1696</v>
      </c>
      <c r="D272" t="s">
        <v>672</v>
      </c>
      <c r="E272" t="s">
        <v>1697</v>
      </c>
      <c r="F272" t="s">
        <v>1698</v>
      </c>
      <c r="G272" t="s">
        <v>1699</v>
      </c>
    </row>
    <row r="273" spans="1:7" x14ac:dyDescent="0.35">
      <c r="A273" t="s">
        <v>1700</v>
      </c>
      <c r="B273" t="s">
        <v>1701</v>
      </c>
      <c r="C273" t="s">
        <v>1702</v>
      </c>
      <c r="D273" t="s">
        <v>282</v>
      </c>
      <c r="E273" t="s">
        <v>1703</v>
      </c>
      <c r="F273" t="s">
        <v>1704</v>
      </c>
      <c r="G273" t="s">
        <v>1705</v>
      </c>
    </row>
    <row r="274" spans="1:7" x14ac:dyDescent="0.35">
      <c r="A274" t="s">
        <v>1706</v>
      </c>
      <c r="B274" t="s">
        <v>1707</v>
      </c>
      <c r="C274" t="s">
        <v>1708</v>
      </c>
      <c r="D274" t="s">
        <v>257</v>
      </c>
      <c r="E274" t="s">
        <v>1709</v>
      </c>
      <c r="F274" t="s">
        <v>1710</v>
      </c>
      <c r="G274" t="s">
        <v>1711</v>
      </c>
    </row>
    <row r="275" spans="1:7" x14ac:dyDescent="0.35">
      <c r="A275" t="s">
        <v>1712</v>
      </c>
      <c r="B275" t="s">
        <v>1713</v>
      </c>
      <c r="C275" t="s">
        <v>1714</v>
      </c>
      <c r="D275" t="s">
        <v>1715</v>
      </c>
      <c r="E275" t="s">
        <v>1716</v>
      </c>
      <c r="F275" t="s">
        <v>1717</v>
      </c>
      <c r="G275" t="s">
        <v>1718</v>
      </c>
    </row>
    <row r="276" spans="1:7" x14ac:dyDescent="0.35">
      <c r="A276" t="s">
        <v>1719</v>
      </c>
      <c r="B276" t="s">
        <v>1720</v>
      </c>
      <c r="C276" t="s">
        <v>1721</v>
      </c>
      <c r="D276" t="s">
        <v>220</v>
      </c>
      <c r="E276" t="s">
        <v>1722</v>
      </c>
      <c r="F276" t="s">
        <v>1723</v>
      </c>
      <c r="G276" t="s">
        <v>1724</v>
      </c>
    </row>
    <row r="277" spans="1:7" x14ac:dyDescent="0.35">
      <c r="A277" t="s">
        <v>1725</v>
      </c>
      <c r="B277" t="s">
        <v>1726</v>
      </c>
      <c r="C277" t="s">
        <v>1727</v>
      </c>
      <c r="D277" t="s">
        <v>932</v>
      </c>
      <c r="E277" t="s">
        <v>1728</v>
      </c>
      <c r="F277" t="s">
        <v>1729</v>
      </c>
      <c r="G277" t="s">
        <v>1730</v>
      </c>
    </row>
    <row r="278" spans="1:7" x14ac:dyDescent="0.35">
      <c r="A278" t="s">
        <v>1731</v>
      </c>
      <c r="B278" t="s">
        <v>1732</v>
      </c>
      <c r="C278" t="s">
        <v>1733</v>
      </c>
      <c r="D278" t="s">
        <v>31</v>
      </c>
      <c r="E278" t="s">
        <v>1734</v>
      </c>
      <c r="F278" t="s">
        <v>637</v>
      </c>
      <c r="G278" t="s">
        <v>1735</v>
      </c>
    </row>
    <row r="279" spans="1:7" x14ac:dyDescent="0.35">
      <c r="A279" t="s">
        <v>1736</v>
      </c>
      <c r="B279" t="s">
        <v>1737</v>
      </c>
      <c r="C279" t="s">
        <v>1738</v>
      </c>
      <c r="D279" t="s">
        <v>257</v>
      </c>
      <c r="E279" t="s">
        <v>1739</v>
      </c>
      <c r="F279" t="s">
        <v>1740</v>
      </c>
      <c r="G279" t="s">
        <v>1741</v>
      </c>
    </row>
    <row r="280" spans="1:7" x14ac:dyDescent="0.35">
      <c r="A280" t="s">
        <v>1742</v>
      </c>
      <c r="B280" t="s">
        <v>1743</v>
      </c>
      <c r="C280" t="s">
        <v>1744</v>
      </c>
      <c r="D280" t="s">
        <v>343</v>
      </c>
      <c r="E280" t="s">
        <v>1745</v>
      </c>
      <c r="F280" t="s">
        <v>1746</v>
      </c>
      <c r="G280" t="s">
        <v>1747</v>
      </c>
    </row>
    <row r="281" spans="1:7" x14ac:dyDescent="0.35">
      <c r="A281" t="s">
        <v>1748</v>
      </c>
      <c r="B281" t="s">
        <v>1749</v>
      </c>
      <c r="C281" t="s">
        <v>1750</v>
      </c>
      <c r="D281" t="s">
        <v>49</v>
      </c>
      <c r="E281" t="s">
        <v>1751</v>
      </c>
      <c r="F281" t="s">
        <v>1752</v>
      </c>
      <c r="G281" t="s">
        <v>1753</v>
      </c>
    </row>
    <row r="282" spans="1:7" x14ac:dyDescent="0.35">
      <c r="A282" t="s">
        <v>1754</v>
      </c>
      <c r="B282" t="s">
        <v>1755</v>
      </c>
      <c r="C282" t="s">
        <v>1756</v>
      </c>
      <c r="D282" t="s">
        <v>1026</v>
      </c>
      <c r="E282" t="s">
        <v>1757</v>
      </c>
      <c r="F282" t="s">
        <v>1758</v>
      </c>
      <c r="G282" t="s">
        <v>1759</v>
      </c>
    </row>
    <row r="283" spans="1:7" x14ac:dyDescent="0.35">
      <c r="A283" t="s">
        <v>1760</v>
      </c>
      <c r="B283" t="s">
        <v>1761</v>
      </c>
      <c r="C283" t="s">
        <v>1762</v>
      </c>
      <c r="D283" t="s">
        <v>1763</v>
      </c>
      <c r="E283" t="s">
        <v>1764</v>
      </c>
      <c r="F283" t="s">
        <v>1765</v>
      </c>
      <c r="G283" t="s">
        <v>597</v>
      </c>
    </row>
    <row r="284" spans="1:7" x14ac:dyDescent="0.35">
      <c r="A284" t="s">
        <v>1766</v>
      </c>
      <c r="B284" t="s">
        <v>1767</v>
      </c>
      <c r="C284" t="s">
        <v>1768</v>
      </c>
      <c r="D284" t="s">
        <v>1769</v>
      </c>
      <c r="E284" t="s">
        <v>1770</v>
      </c>
      <c r="F284" t="s">
        <v>1771</v>
      </c>
      <c r="G284" t="s">
        <v>1772</v>
      </c>
    </row>
    <row r="285" spans="1:7" x14ac:dyDescent="0.35">
      <c r="A285" t="s">
        <v>1773</v>
      </c>
      <c r="B285" t="s">
        <v>1774</v>
      </c>
      <c r="C285" t="s">
        <v>1775</v>
      </c>
      <c r="D285" t="s">
        <v>1776</v>
      </c>
      <c r="E285" t="s">
        <v>1777</v>
      </c>
      <c r="F285" t="s">
        <v>1778</v>
      </c>
      <c r="G285" t="s">
        <v>1779</v>
      </c>
    </row>
    <row r="286" spans="1:7" x14ac:dyDescent="0.35">
      <c r="A286" t="s">
        <v>1780</v>
      </c>
      <c r="B286" t="s">
        <v>1781</v>
      </c>
      <c r="C286" t="s">
        <v>1782</v>
      </c>
      <c r="D286" t="s">
        <v>129</v>
      </c>
      <c r="E286" t="s">
        <v>1783</v>
      </c>
      <c r="F286" t="s">
        <v>1784</v>
      </c>
      <c r="G286" t="s">
        <v>1785</v>
      </c>
    </row>
    <row r="287" spans="1:7" x14ac:dyDescent="0.35">
      <c r="A287" t="s">
        <v>1786</v>
      </c>
      <c r="B287" t="s">
        <v>1787</v>
      </c>
      <c r="C287" t="s">
        <v>1788</v>
      </c>
      <c r="D287" t="s">
        <v>1789</v>
      </c>
      <c r="E287" t="s">
        <v>1790</v>
      </c>
      <c r="F287" t="s">
        <v>1791</v>
      </c>
      <c r="G287" t="s">
        <v>1792</v>
      </c>
    </row>
    <row r="288" spans="1:7" x14ac:dyDescent="0.35">
      <c r="A288" t="s">
        <v>1793</v>
      </c>
      <c r="B288" t="s">
        <v>1794</v>
      </c>
      <c r="C288" t="s">
        <v>1795</v>
      </c>
      <c r="D288" t="s">
        <v>31</v>
      </c>
      <c r="E288" t="s">
        <v>1796</v>
      </c>
      <c r="F288" t="s">
        <v>637</v>
      </c>
      <c r="G288" t="s">
        <v>1797</v>
      </c>
    </row>
    <row r="289" spans="1:7" x14ac:dyDescent="0.35">
      <c r="A289" t="s">
        <v>1798</v>
      </c>
      <c r="B289" t="s">
        <v>1799</v>
      </c>
      <c r="C289" t="s">
        <v>1800</v>
      </c>
      <c r="D289" t="s">
        <v>315</v>
      </c>
      <c r="E289" t="s">
        <v>1801</v>
      </c>
      <c r="F289" t="s">
        <v>1802</v>
      </c>
      <c r="G289" t="s">
        <v>1576</v>
      </c>
    </row>
    <row r="290" spans="1:7" x14ac:dyDescent="0.35">
      <c r="A290" t="s">
        <v>1803</v>
      </c>
      <c r="B290" t="s">
        <v>1804</v>
      </c>
      <c r="C290" t="s">
        <v>1805</v>
      </c>
      <c r="D290" t="s">
        <v>31</v>
      </c>
      <c r="E290" t="s">
        <v>1806</v>
      </c>
      <c r="F290" t="s">
        <v>637</v>
      </c>
      <c r="G290" t="s">
        <v>1807</v>
      </c>
    </row>
    <row r="291" spans="1:7" x14ac:dyDescent="0.35">
      <c r="A291" t="s">
        <v>1808</v>
      </c>
      <c r="B291" t="s">
        <v>1809</v>
      </c>
      <c r="C291" t="s">
        <v>1810</v>
      </c>
      <c r="D291" t="s">
        <v>10</v>
      </c>
      <c r="E291" t="s">
        <v>1811</v>
      </c>
      <c r="F291" t="s">
        <v>1812</v>
      </c>
      <c r="G291" t="s">
        <v>1813</v>
      </c>
    </row>
    <row r="292" spans="1:7" x14ac:dyDescent="0.35">
      <c r="A292" t="s">
        <v>1814</v>
      </c>
      <c r="B292" t="s">
        <v>1815</v>
      </c>
      <c r="C292" t="s">
        <v>1816</v>
      </c>
      <c r="D292" t="s">
        <v>83</v>
      </c>
      <c r="E292" t="s">
        <v>1817</v>
      </c>
      <c r="F292" t="s">
        <v>1818</v>
      </c>
      <c r="G292" t="s">
        <v>1819</v>
      </c>
    </row>
    <row r="293" spans="1:7" x14ac:dyDescent="0.35">
      <c r="A293" t="s">
        <v>1820</v>
      </c>
      <c r="B293" t="s">
        <v>1821</v>
      </c>
      <c r="C293" t="s">
        <v>1822</v>
      </c>
      <c r="D293" t="s">
        <v>1789</v>
      </c>
      <c r="E293" t="s">
        <v>1823</v>
      </c>
      <c r="F293" t="s">
        <v>1824</v>
      </c>
      <c r="G293" t="s">
        <v>1825</v>
      </c>
    </row>
    <row r="294" spans="1:7" x14ac:dyDescent="0.35">
      <c r="A294" t="s">
        <v>1826</v>
      </c>
      <c r="B294" t="s">
        <v>1827</v>
      </c>
      <c r="C294" t="s">
        <v>1828</v>
      </c>
      <c r="D294" t="s">
        <v>31</v>
      </c>
      <c r="E294" t="s">
        <v>1829</v>
      </c>
      <c r="F294" t="s">
        <v>1830</v>
      </c>
      <c r="G294" t="s">
        <v>597</v>
      </c>
    </row>
    <row r="295" spans="1:7" x14ac:dyDescent="0.35">
      <c r="A295" t="s">
        <v>1831</v>
      </c>
      <c r="B295" t="s">
        <v>1832</v>
      </c>
      <c r="C295" t="s">
        <v>1833</v>
      </c>
      <c r="D295" t="s">
        <v>56</v>
      </c>
      <c r="E295" t="s">
        <v>1834</v>
      </c>
      <c r="F295" t="s">
        <v>1835</v>
      </c>
      <c r="G295" t="s">
        <v>1836</v>
      </c>
    </row>
    <row r="296" spans="1:7" x14ac:dyDescent="0.35">
      <c r="A296" t="s">
        <v>1837</v>
      </c>
      <c r="B296" t="s">
        <v>1838</v>
      </c>
      <c r="C296" t="s">
        <v>1839</v>
      </c>
      <c r="D296" t="s">
        <v>322</v>
      </c>
      <c r="E296" t="s">
        <v>1840</v>
      </c>
      <c r="F296" t="s">
        <v>1841</v>
      </c>
      <c r="G296" t="s">
        <v>1842</v>
      </c>
    </row>
    <row r="297" spans="1:7" x14ac:dyDescent="0.35">
      <c r="A297" t="s">
        <v>1843</v>
      </c>
      <c r="B297" t="s">
        <v>1844</v>
      </c>
      <c r="C297" t="s">
        <v>1845</v>
      </c>
      <c r="D297" t="s">
        <v>397</v>
      </c>
      <c r="E297" t="s">
        <v>1846</v>
      </c>
      <c r="F297" t="s">
        <v>1847</v>
      </c>
      <c r="G297" t="s">
        <v>1848</v>
      </c>
    </row>
    <row r="298" spans="1:7" x14ac:dyDescent="0.35">
      <c r="A298" t="s">
        <v>1849</v>
      </c>
      <c r="B298" t="s">
        <v>1850</v>
      </c>
      <c r="C298" t="s">
        <v>1851</v>
      </c>
      <c r="D298" t="s">
        <v>31</v>
      </c>
      <c r="E298" t="s">
        <v>1852</v>
      </c>
      <c r="F298" t="s">
        <v>1853</v>
      </c>
      <c r="G298" t="s">
        <v>1854</v>
      </c>
    </row>
    <row r="299" spans="1:7" x14ac:dyDescent="0.35">
      <c r="A299" t="s">
        <v>1855</v>
      </c>
      <c r="B299" t="s">
        <v>1856</v>
      </c>
      <c r="C299" t="s">
        <v>1857</v>
      </c>
      <c r="D299" t="s">
        <v>629</v>
      </c>
      <c r="E299" t="s">
        <v>1858</v>
      </c>
      <c r="F299" t="s">
        <v>1859</v>
      </c>
      <c r="G299" t="s">
        <v>1860</v>
      </c>
    </row>
    <row r="300" spans="1:7" x14ac:dyDescent="0.35">
      <c r="A300" t="s">
        <v>1861</v>
      </c>
      <c r="B300" t="s">
        <v>1862</v>
      </c>
      <c r="C300" t="s">
        <v>1863</v>
      </c>
      <c r="D300" t="s">
        <v>1366</v>
      </c>
      <c r="E300" t="s">
        <v>1864</v>
      </c>
      <c r="F300" t="s">
        <v>1865</v>
      </c>
      <c r="G300" t="s">
        <v>1866</v>
      </c>
    </row>
    <row r="301" spans="1:7" x14ac:dyDescent="0.35">
      <c r="A301" t="s">
        <v>1867</v>
      </c>
      <c r="B301" t="s">
        <v>1868</v>
      </c>
      <c r="C301" t="s">
        <v>1869</v>
      </c>
      <c r="D301" t="s">
        <v>49</v>
      </c>
      <c r="E301" t="s">
        <v>1870</v>
      </c>
      <c r="F301" t="s">
        <v>1871</v>
      </c>
      <c r="G301" t="s">
        <v>1872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2FA9-31D9-4184-B579-5C21DB88A0B0}">
  <dimension ref="A1:K290"/>
  <sheetViews>
    <sheetView topLeftCell="A2" workbookViewId="0">
      <selection activeCell="H11" sqref="H11"/>
    </sheetView>
  </sheetViews>
  <sheetFormatPr defaultRowHeight="14.5" x14ac:dyDescent="0.35"/>
  <cols>
    <col min="1" max="1" width="46.1796875" bestFit="1" customWidth="1"/>
    <col min="2" max="2" width="9.54296875" bestFit="1" customWidth="1"/>
    <col min="3" max="3" width="12.36328125" bestFit="1" customWidth="1"/>
    <col min="4" max="4" width="15" bestFit="1" customWidth="1"/>
    <col min="5" max="5" width="12.90625" bestFit="1" customWidth="1"/>
    <col min="6" max="6" width="18.36328125" bestFit="1" customWidth="1"/>
    <col min="7" max="7" width="18" bestFit="1" customWidth="1"/>
    <col min="8" max="8" width="20.90625" bestFit="1" customWidth="1"/>
    <col min="9" max="9" width="24.08984375" bestFit="1" customWidth="1"/>
    <col min="10" max="10" width="11.7265625" customWidth="1"/>
    <col min="11" max="11" width="16.453125" customWidth="1"/>
  </cols>
  <sheetData>
    <row r="1" spans="1:11" x14ac:dyDescent="0.35">
      <c r="A1" t="s">
        <v>0</v>
      </c>
      <c r="B1" t="s">
        <v>1</v>
      </c>
      <c r="C1" t="s">
        <v>2</v>
      </c>
      <c r="D1" t="s">
        <v>3</v>
      </c>
      <c r="E1" t="s">
        <v>4</v>
      </c>
      <c r="F1" t="s">
        <v>5</v>
      </c>
      <c r="G1" t="s">
        <v>6</v>
      </c>
      <c r="H1" t="s">
        <v>1873</v>
      </c>
      <c r="I1" t="s">
        <v>1874</v>
      </c>
      <c r="J1" t="s">
        <v>1875</v>
      </c>
      <c r="K1" t="s">
        <v>1876</v>
      </c>
    </row>
    <row r="2" spans="1:11" x14ac:dyDescent="0.35">
      <c r="A2" t="s">
        <v>7</v>
      </c>
      <c r="B2" t="s">
        <v>8</v>
      </c>
      <c r="C2">
        <v>186.71</v>
      </c>
      <c r="D2">
        <v>5.9999999999999995E-4</v>
      </c>
      <c r="E2">
        <v>6385658</v>
      </c>
      <c r="F2">
        <v>1095928</v>
      </c>
      <c r="G2" t="s">
        <v>13</v>
      </c>
      <c r="H2">
        <v>34190</v>
      </c>
      <c r="I2">
        <f>Table_Cleaned_Data[[#This Row],[Volume (24h) USD]]/Table_Cleaned_Data[[#This Row],[Circulating_Supply($)]]</f>
        <v>32.054050892073704</v>
      </c>
      <c r="J2">
        <f>RANK(Table_Cleaned_Data[[#This Row],[Market Cap]],Table_Cleaned_Data[Market Cap],0)</f>
        <v>175</v>
      </c>
      <c r="K2" t="str">
        <f t="shared" ref="K2:K65" si="0">IF(C2&lt;=0.5,"0–0.5",
IF(C2&lt;=1,"0.5–1",
IF(C2&lt;=2,"1–2",
IF(C2&lt;=10,"2–10",
IF(C2&lt;=100,"10–100",
IF(C2&lt;=1000,"100–1000",
IF(C2&lt;=10000,"1000–10000",
"10000+")))))))</f>
        <v>100–1000</v>
      </c>
    </row>
    <row r="3" spans="1:11" x14ac:dyDescent="0.35">
      <c r="A3" t="s">
        <v>14</v>
      </c>
      <c r="B3" t="s">
        <v>15</v>
      </c>
      <c r="C3">
        <v>88617.76</v>
      </c>
      <c r="D3">
        <v>2.5000000000000001E-3</v>
      </c>
      <c r="E3">
        <v>1769018049912</v>
      </c>
      <c r="F3">
        <v>15900106528</v>
      </c>
      <c r="G3" t="s">
        <v>20</v>
      </c>
      <c r="H3">
        <v>19960000</v>
      </c>
      <c r="I3">
        <f>Table_Cleaned_Data[[#This Row],[Volume (24h) USD]]/Table_Cleaned_Data[[#This Row],[Circulating_Supply($)]]</f>
        <v>796.59852344689375</v>
      </c>
      <c r="J3">
        <f>RANK(Table_Cleaned_Data[[#This Row],[Market Cap]],Table_Cleaned_Data[Market Cap],0)</f>
        <v>1</v>
      </c>
      <c r="K3" t="str">
        <f t="shared" si="0"/>
        <v>10000+</v>
      </c>
    </row>
    <row r="4" spans="1:11" x14ac:dyDescent="0.35">
      <c r="A4" t="s">
        <v>21</v>
      </c>
      <c r="B4" t="s">
        <v>22</v>
      </c>
      <c r="C4">
        <v>2995.26</v>
      </c>
      <c r="D4">
        <v>2.0999999999999999E-3</v>
      </c>
      <c r="E4">
        <v>361423587738</v>
      </c>
      <c r="F4">
        <v>8206517127</v>
      </c>
      <c r="G4" t="s">
        <v>27</v>
      </c>
      <c r="H4">
        <v>120690000</v>
      </c>
      <c r="I4">
        <f>Table_Cleaned_Data[[#This Row],[Volume (24h) USD]]/Table_Cleaned_Data[[#This Row],[Circulating_Supply($)]]</f>
        <v>67.996661918965941</v>
      </c>
      <c r="J4">
        <f>RANK(Table_Cleaned_Data[[#This Row],[Market Cap]],Table_Cleaned_Data[Market Cap],0)</f>
        <v>2</v>
      </c>
      <c r="K4" t="str">
        <f t="shared" si="0"/>
        <v>1000–10000</v>
      </c>
    </row>
    <row r="5" spans="1:11" x14ac:dyDescent="0.35">
      <c r="A5" t="s">
        <v>28</v>
      </c>
      <c r="B5" t="s">
        <v>29</v>
      </c>
      <c r="C5">
        <v>0.99960000000000004</v>
      </c>
      <c r="D5">
        <v>0</v>
      </c>
      <c r="E5">
        <v>186753660259</v>
      </c>
      <c r="F5">
        <v>49537630315</v>
      </c>
      <c r="G5" t="s">
        <v>34</v>
      </c>
      <c r="H5">
        <v>186820000000</v>
      </c>
      <c r="I5">
        <f>Table_Cleaned_Data[[#This Row],[Volume (24h) USD]]/Table_Cleaned_Data[[#This Row],[Circulating_Supply($)]]</f>
        <v>0.26516235047104164</v>
      </c>
      <c r="J5">
        <f>RANK(Table_Cleaned_Data[[#This Row],[Market Cap]],Table_Cleaned_Data[Market Cap],0)</f>
        <v>3</v>
      </c>
      <c r="K5" t="str">
        <f t="shared" si="0"/>
        <v>0.5–1</v>
      </c>
    </row>
    <row r="6" spans="1:11" x14ac:dyDescent="0.35">
      <c r="A6" t="s">
        <v>35</v>
      </c>
      <c r="B6" t="s">
        <v>35</v>
      </c>
      <c r="C6">
        <v>855.25</v>
      </c>
      <c r="D6">
        <v>1.6999999999999999E-3</v>
      </c>
      <c r="E6">
        <v>117794143481</v>
      </c>
      <c r="F6">
        <v>1382355356</v>
      </c>
      <c r="G6" t="s">
        <v>40</v>
      </c>
      <c r="H6">
        <v>137730000</v>
      </c>
      <c r="I6">
        <f>Table_Cleaned_Data[[#This Row],[Volume (24h) USD]]/Table_Cleaned_Data[[#This Row],[Circulating_Supply($)]]</f>
        <v>10.036704828287229</v>
      </c>
      <c r="J6">
        <f>RANK(Table_Cleaned_Data[[#This Row],[Market Cap]],Table_Cleaned_Data[Market Cap],0)</f>
        <v>4</v>
      </c>
      <c r="K6" t="str">
        <f t="shared" si="0"/>
        <v>100–1000</v>
      </c>
    </row>
    <row r="7" spans="1:11" x14ac:dyDescent="0.35">
      <c r="A7" t="s">
        <v>41</v>
      </c>
      <c r="B7" t="s">
        <v>41</v>
      </c>
      <c r="C7">
        <v>1.93</v>
      </c>
      <c r="D7">
        <v>6.8999999999999999E-3</v>
      </c>
      <c r="E7">
        <v>117071294680</v>
      </c>
      <c r="F7">
        <v>2414665365</v>
      </c>
      <c r="G7" t="s">
        <v>46</v>
      </c>
      <c r="H7">
        <v>60570000000</v>
      </c>
      <c r="I7">
        <f>Table_Cleaned_Data[[#This Row],[Volume (24h) USD]]/Table_Cleaned_Data[[#This Row],[Circulating_Supply($)]]</f>
        <v>3.9865698613174842E-2</v>
      </c>
      <c r="J7">
        <f>RANK(Table_Cleaned_Data[[#This Row],[Market Cap]],Table_Cleaned_Data[Market Cap],0)</f>
        <v>5</v>
      </c>
      <c r="K7" t="str">
        <f t="shared" si="0"/>
        <v>1–2</v>
      </c>
    </row>
    <row r="8" spans="1:11" x14ac:dyDescent="0.35">
      <c r="A8" t="s">
        <v>47</v>
      </c>
      <c r="B8" t="s">
        <v>47</v>
      </c>
      <c r="C8">
        <v>0.99970000000000003</v>
      </c>
      <c r="D8">
        <v>1E-4</v>
      </c>
      <c r="E8">
        <v>77041970766</v>
      </c>
      <c r="F8">
        <v>4090327607</v>
      </c>
      <c r="G8" t="s">
        <v>52</v>
      </c>
      <c r="H8">
        <v>77060000000</v>
      </c>
      <c r="I8">
        <f>Table_Cleaned_Data[[#This Row],[Volume (24h) USD]]/Table_Cleaned_Data[[#This Row],[Circulating_Supply($)]]</f>
        <v>5.3079776888139113E-2</v>
      </c>
      <c r="J8">
        <f>RANK(Table_Cleaned_Data[[#This Row],[Market Cap]],Table_Cleaned_Data[Market Cap],0)</f>
        <v>6</v>
      </c>
      <c r="K8" t="str">
        <f t="shared" si="0"/>
        <v>0.5–1</v>
      </c>
    </row>
    <row r="9" spans="1:11" x14ac:dyDescent="0.35">
      <c r="A9" t="s">
        <v>53</v>
      </c>
      <c r="B9" t="s">
        <v>54</v>
      </c>
      <c r="C9">
        <v>125.68</v>
      </c>
      <c r="D9">
        <v>5.5999999999999999E-3</v>
      </c>
      <c r="E9">
        <v>70670265414</v>
      </c>
      <c r="F9">
        <v>1789456574</v>
      </c>
      <c r="G9" t="s">
        <v>59</v>
      </c>
      <c r="H9">
        <v>562290000</v>
      </c>
      <c r="I9">
        <f>Table_Cleaned_Data[[#This Row],[Volume (24h) USD]]/Table_Cleaned_Data[[#This Row],[Circulating_Supply($)]]</f>
        <v>3.1824442440733431</v>
      </c>
      <c r="J9">
        <f>RANK(Table_Cleaned_Data[[#This Row],[Market Cap]],Table_Cleaned_Data[Market Cap],0)</f>
        <v>7</v>
      </c>
      <c r="K9" t="str">
        <f t="shared" si="0"/>
        <v>100–1000</v>
      </c>
    </row>
    <row r="10" spans="1:11" x14ac:dyDescent="0.35">
      <c r="A10" t="s">
        <v>60</v>
      </c>
      <c r="B10" t="s">
        <v>61</v>
      </c>
      <c r="C10">
        <v>0.28510000000000002</v>
      </c>
      <c r="D10">
        <v>2.0999999999999999E-3</v>
      </c>
      <c r="E10">
        <v>27003517160</v>
      </c>
      <c r="F10">
        <v>446524909</v>
      </c>
      <c r="G10" t="s">
        <v>65</v>
      </c>
      <c r="H10">
        <v>94680000000</v>
      </c>
      <c r="I10">
        <f>Table_Cleaned_Data[[#This Row],[Volume (24h) USD]]/Table_Cleaned_Data[[#This Row],[Circulating_Supply($)]]</f>
        <v>4.7161481727925648E-3</v>
      </c>
      <c r="J10">
        <f>RANK(Table_Cleaned_Data[[#This Row],[Market Cap]],Table_Cleaned_Data[Market Cap],0)</f>
        <v>8</v>
      </c>
      <c r="K10" t="str">
        <f t="shared" si="0"/>
        <v>0–0.5</v>
      </c>
    </row>
    <row r="11" spans="1:11" x14ac:dyDescent="0.35">
      <c r="A11" t="s">
        <v>66</v>
      </c>
      <c r="B11" t="s">
        <v>67</v>
      </c>
      <c r="C11">
        <v>0.1318</v>
      </c>
      <c r="D11">
        <v>8.0000000000000002E-3</v>
      </c>
      <c r="E11">
        <v>22142131632</v>
      </c>
      <c r="F11">
        <v>518471540</v>
      </c>
      <c r="G11" t="s">
        <v>72</v>
      </c>
      <c r="H11">
        <v>167980000000</v>
      </c>
      <c r="I11">
        <f>Table_Cleaned_Data[[#This Row],[Volume (24h) USD]]/Table_Cleaned_Data[[#This Row],[Circulating_Supply($)]]</f>
        <v>3.0865075604238601E-3</v>
      </c>
      <c r="J11">
        <f>RANK(Table_Cleaned_Data[[#This Row],[Market Cap]],Table_Cleaned_Data[Market Cap],0)</f>
        <v>9</v>
      </c>
      <c r="K11" t="str">
        <f t="shared" si="0"/>
        <v>0–0.5</v>
      </c>
    </row>
    <row r="12" spans="1:11" x14ac:dyDescent="0.35">
      <c r="A12" t="s">
        <v>73</v>
      </c>
      <c r="B12" t="s">
        <v>74</v>
      </c>
      <c r="C12">
        <v>0.37030000000000002</v>
      </c>
      <c r="D12">
        <v>8.6E-3</v>
      </c>
      <c r="E12">
        <v>13306597136</v>
      </c>
      <c r="F12">
        <v>333761113</v>
      </c>
      <c r="G12" t="s">
        <v>79</v>
      </c>
      <c r="H12">
        <v>35920000000</v>
      </c>
      <c r="I12">
        <f>Table_Cleaned_Data[[#This Row],[Volume (24h) USD]]/Table_Cleaned_Data[[#This Row],[Circulating_Supply($)]]</f>
        <v>9.2917904510022263E-3</v>
      </c>
      <c r="J12">
        <f>RANK(Table_Cleaned_Data[[#This Row],[Market Cap]],Table_Cleaned_Data[Market Cap],0)</f>
        <v>10</v>
      </c>
      <c r="K12" t="str">
        <f t="shared" si="0"/>
        <v>0–0.5</v>
      </c>
    </row>
    <row r="13" spans="1:11" x14ac:dyDescent="0.35">
      <c r="A13" t="s">
        <v>80</v>
      </c>
      <c r="B13" t="s">
        <v>81</v>
      </c>
      <c r="C13">
        <v>586.88</v>
      </c>
      <c r="D13">
        <v>3.0999999999999999E-3</v>
      </c>
      <c r="E13">
        <v>11719903275</v>
      </c>
      <c r="F13">
        <v>294129073</v>
      </c>
      <c r="G13" t="s">
        <v>20</v>
      </c>
      <c r="H13">
        <v>19960000</v>
      </c>
      <c r="I13">
        <f>Table_Cleaned_Data[[#This Row],[Volume (24h) USD]]/Table_Cleaned_Data[[#This Row],[Circulating_Supply($)]]</f>
        <v>14.735925501002004</v>
      </c>
      <c r="J13">
        <f>RANK(Table_Cleaned_Data[[#This Row],[Market Cap]],Table_Cleaned_Data[Market Cap],0)</f>
        <v>11</v>
      </c>
      <c r="K13" t="str">
        <f t="shared" si="0"/>
        <v>100–1000</v>
      </c>
    </row>
    <row r="14" spans="1:11" x14ac:dyDescent="0.35">
      <c r="A14" t="s">
        <v>86</v>
      </c>
      <c r="B14" t="s">
        <v>87</v>
      </c>
      <c r="C14">
        <v>12.58</v>
      </c>
      <c r="D14">
        <v>7.1999999999999998E-3</v>
      </c>
      <c r="E14">
        <v>8911264583</v>
      </c>
      <c r="F14">
        <v>264909841</v>
      </c>
      <c r="G14" t="s">
        <v>92</v>
      </c>
      <c r="H14">
        <v>708090000</v>
      </c>
      <c r="I14">
        <f>Table_Cleaned_Data[[#This Row],[Volume (24h) USD]]/Table_Cleaned_Data[[#This Row],[Circulating_Supply($)]]</f>
        <v>0.37411888460506432</v>
      </c>
      <c r="J14">
        <f>RANK(Table_Cleaned_Data[[#This Row],[Market Cap]],Table_Cleaned_Data[Market Cap],0)</f>
        <v>12</v>
      </c>
      <c r="K14" t="str">
        <f t="shared" si="0"/>
        <v>10–100</v>
      </c>
    </row>
    <row r="15" spans="1:11" x14ac:dyDescent="0.35">
      <c r="A15" t="s">
        <v>93</v>
      </c>
      <c r="B15" t="s">
        <v>94</v>
      </c>
      <c r="C15">
        <v>469.29</v>
      </c>
      <c r="D15">
        <v>9.4000000000000004E-3</v>
      </c>
      <c r="E15">
        <v>8657043978</v>
      </c>
      <c r="F15">
        <v>213444264</v>
      </c>
      <c r="G15" t="s">
        <v>99</v>
      </c>
      <c r="H15">
        <v>18440000</v>
      </c>
      <c r="I15">
        <f>Table_Cleaned_Data[[#This Row],[Volume (24h) USD]]/Table_Cleaned_Data[[#This Row],[Circulating_Supply($)]]</f>
        <v>11.575068546637745</v>
      </c>
      <c r="J15">
        <f>RANK(Table_Cleaned_Data[[#This Row],[Market Cap]],Table_Cleaned_Data[Market Cap],0)</f>
        <v>13</v>
      </c>
      <c r="K15" t="str">
        <f t="shared" si="0"/>
        <v>100–1000</v>
      </c>
    </row>
    <row r="16" spans="1:11" x14ac:dyDescent="0.35">
      <c r="A16" t="s">
        <v>100</v>
      </c>
      <c r="B16" t="s">
        <v>101</v>
      </c>
      <c r="C16">
        <v>24.21</v>
      </c>
      <c r="D16">
        <v>5.4999999999999997E-3</v>
      </c>
      <c r="E16">
        <v>8152825164</v>
      </c>
      <c r="F16">
        <v>151858829</v>
      </c>
      <c r="G16" t="s">
        <v>106</v>
      </c>
      <c r="H16">
        <v>336680000</v>
      </c>
      <c r="I16">
        <f>Table_Cleaned_Data[[#This Row],[Volume (24h) USD]]/Table_Cleaned_Data[[#This Row],[Circulating_Supply($)]]</f>
        <v>0.45104796542711179</v>
      </c>
      <c r="J16">
        <f>RANK(Table_Cleaned_Data[[#This Row],[Market Cap]],Table_Cleaned_Data[Market Cap],0)</f>
        <v>14</v>
      </c>
      <c r="K16" t="str">
        <f t="shared" si="0"/>
        <v>10–100</v>
      </c>
    </row>
    <row r="17" spans="1:11" x14ac:dyDescent="0.35">
      <c r="A17" t="s">
        <v>107</v>
      </c>
      <c r="B17" t="s">
        <v>108</v>
      </c>
      <c r="C17">
        <v>3.7199999999999997E-2</v>
      </c>
      <c r="D17">
        <v>7.1999999999999998E-3</v>
      </c>
      <c r="E17">
        <v>396283095</v>
      </c>
      <c r="F17">
        <v>12502267</v>
      </c>
      <c r="G17" t="s">
        <v>112</v>
      </c>
      <c r="H17">
        <v>10650000000</v>
      </c>
      <c r="I17">
        <f>Table_Cleaned_Data[[#This Row],[Volume (24h) USD]]/Table_Cleaned_Data[[#This Row],[Circulating_Supply($)]]</f>
        <v>1.1739217840375587E-3</v>
      </c>
      <c r="J17">
        <f>RANK(Table_Cleaned_Data[[#This Row],[Market Cap]],Table_Cleaned_Data[Market Cap],0)</f>
        <v>24</v>
      </c>
      <c r="K17" t="str">
        <f t="shared" si="0"/>
        <v>0–0.5</v>
      </c>
    </row>
    <row r="18" spans="1:11" x14ac:dyDescent="0.35">
      <c r="A18" t="s">
        <v>113</v>
      </c>
      <c r="B18" t="s">
        <v>114</v>
      </c>
      <c r="C18">
        <v>3.9899999999999998E-2</v>
      </c>
      <c r="D18">
        <v>1.4E-3</v>
      </c>
      <c r="E18">
        <v>395100959</v>
      </c>
      <c r="F18">
        <v>27177132</v>
      </c>
      <c r="G18" t="s">
        <v>119</v>
      </c>
      <c r="H18">
        <v>9900000000</v>
      </c>
      <c r="I18">
        <f>Table_Cleaned_Data[[#This Row],[Volume (24h) USD]]/Table_Cleaned_Data[[#This Row],[Circulating_Supply($)]]</f>
        <v>2.7451648484848484E-3</v>
      </c>
      <c r="J18">
        <f>RANK(Table_Cleaned_Data[[#This Row],[Market Cap]],Table_Cleaned_Data[Market Cap],0)</f>
        <v>25</v>
      </c>
      <c r="K18" t="str">
        <f t="shared" si="0"/>
        <v>0–0.5</v>
      </c>
    </row>
    <row r="19" spans="1:11" x14ac:dyDescent="0.35">
      <c r="A19" t="s">
        <v>120</v>
      </c>
      <c r="B19" t="s">
        <v>121</v>
      </c>
      <c r="C19">
        <v>6.4000000000000001E-2</v>
      </c>
      <c r="D19">
        <v>1.8E-3</v>
      </c>
      <c r="E19">
        <v>391089084</v>
      </c>
      <c r="F19">
        <v>10638334</v>
      </c>
      <c r="G19" t="s">
        <v>126</v>
      </c>
      <c r="H19">
        <v>986060000000000</v>
      </c>
      <c r="I19">
        <f>Table_Cleaned_Data[[#This Row],[Volume (24h) USD]]/Table_Cleaned_Data[[#This Row],[Circulating_Supply($)]]</f>
        <v>1.0788728880595502E-8</v>
      </c>
      <c r="J19">
        <f>RANK(Table_Cleaned_Data[[#This Row],[Market Cap]],Table_Cleaned_Data[Market Cap],0)</f>
        <v>26</v>
      </c>
      <c r="K19" t="str">
        <f t="shared" si="0"/>
        <v>0–0.5</v>
      </c>
    </row>
    <row r="20" spans="1:11" x14ac:dyDescent="0.35">
      <c r="A20" t="s">
        <v>127</v>
      </c>
      <c r="B20" t="s">
        <v>127</v>
      </c>
      <c r="C20">
        <v>0</v>
      </c>
      <c r="D20">
        <v>6.4999999999999997E-3</v>
      </c>
      <c r="E20">
        <v>390942713</v>
      </c>
      <c r="F20">
        <v>20456716</v>
      </c>
      <c r="G20" t="s">
        <v>132</v>
      </c>
      <c r="H20">
        <v>9540000000000</v>
      </c>
      <c r="I20">
        <f>Table_Cleaned_Data[[#This Row],[Volume (24h) USD]]/Table_Cleaned_Data[[#This Row],[Circulating_Supply($)]]</f>
        <v>2.1443098532494758E-6</v>
      </c>
      <c r="J20">
        <f>RANK(Table_Cleaned_Data[[#This Row],[Market Cap]],Table_Cleaned_Data[Market Cap],0)</f>
        <v>27</v>
      </c>
      <c r="K20" t="str">
        <f t="shared" si="0"/>
        <v>0–0.5</v>
      </c>
    </row>
    <row r="21" spans="1:11" x14ac:dyDescent="0.35">
      <c r="A21" t="s">
        <v>133</v>
      </c>
      <c r="B21" t="s">
        <v>134</v>
      </c>
      <c r="C21">
        <v>2.0199999999999999E-2</v>
      </c>
      <c r="D21">
        <v>1.1999999999999999E-3</v>
      </c>
      <c r="E21">
        <v>387986393</v>
      </c>
      <c r="F21">
        <v>17850726</v>
      </c>
      <c r="G21" t="s">
        <v>139</v>
      </c>
      <c r="H21">
        <v>19180000000</v>
      </c>
      <c r="I21">
        <f>Table_Cleaned_Data[[#This Row],[Volume (24h) USD]]/Table_Cleaned_Data[[#This Row],[Circulating_Supply($)]]</f>
        <v>9.3069478623566211E-4</v>
      </c>
      <c r="J21">
        <f>RANK(Table_Cleaned_Data[[#This Row],[Market Cap]],Table_Cleaned_Data[Market Cap],0)</f>
        <v>28</v>
      </c>
      <c r="K21" t="str">
        <f t="shared" si="0"/>
        <v>0–0.5</v>
      </c>
    </row>
    <row r="22" spans="1:11" x14ac:dyDescent="0.35">
      <c r="A22" t="s">
        <v>140</v>
      </c>
      <c r="B22" t="s">
        <v>141</v>
      </c>
      <c r="C22">
        <v>3.7100000000000001E-2</v>
      </c>
      <c r="D22">
        <v>2.4299999999999999E-2</v>
      </c>
      <c r="E22">
        <v>377832305</v>
      </c>
      <c r="F22">
        <v>129423812</v>
      </c>
      <c r="G22" t="s">
        <v>146</v>
      </c>
      <c r="H22">
        <v>10170000000</v>
      </c>
      <c r="I22">
        <f>Table_Cleaned_Data[[#This Row],[Volume (24h) USD]]/Table_Cleaned_Data[[#This Row],[Circulating_Supply($)]]</f>
        <v>1.2726038544739429E-2</v>
      </c>
      <c r="J22">
        <f>RANK(Table_Cleaned_Data[[#This Row],[Market Cap]],Table_Cleaned_Data[Market Cap],0)</f>
        <v>29</v>
      </c>
      <c r="K22" t="str">
        <f t="shared" si="0"/>
        <v>0–0.5</v>
      </c>
    </row>
    <row r="23" spans="1:11" x14ac:dyDescent="0.35">
      <c r="A23" t="s">
        <v>147</v>
      </c>
      <c r="B23" t="s">
        <v>148</v>
      </c>
      <c r="C23">
        <v>0.3291</v>
      </c>
      <c r="D23">
        <v>6.0000000000000001E-3</v>
      </c>
      <c r="E23">
        <v>376034713</v>
      </c>
      <c r="F23">
        <v>27336461</v>
      </c>
      <c r="G23" t="s">
        <v>153</v>
      </c>
      <c r="H23">
        <v>1140000000</v>
      </c>
      <c r="I23">
        <f>Table_Cleaned_Data[[#This Row],[Volume (24h) USD]]/Table_Cleaned_Data[[#This Row],[Circulating_Supply($)]]</f>
        <v>2.3979351754385966E-2</v>
      </c>
      <c r="J23">
        <f>RANK(Table_Cleaned_Data[[#This Row],[Market Cap]],Table_Cleaned_Data[Market Cap],0)</f>
        <v>30</v>
      </c>
      <c r="K23" t="str">
        <f t="shared" si="0"/>
        <v>0–0.5</v>
      </c>
    </row>
    <row r="24" spans="1:11" x14ac:dyDescent="0.35">
      <c r="A24" t="s">
        <v>154</v>
      </c>
      <c r="B24" t="s">
        <v>155</v>
      </c>
      <c r="C24">
        <v>0.108</v>
      </c>
      <c r="D24">
        <v>9.1000000000000004E-3</v>
      </c>
      <c r="E24">
        <v>375067798</v>
      </c>
      <c r="F24">
        <v>9957726</v>
      </c>
      <c r="G24" t="s">
        <v>160</v>
      </c>
      <c r="H24">
        <v>3470000000</v>
      </c>
      <c r="I24">
        <f>Table_Cleaned_Data[[#This Row],[Volume (24h) USD]]/Table_Cleaned_Data[[#This Row],[Circulating_Supply($)]]</f>
        <v>2.8696616714697408E-3</v>
      </c>
      <c r="J24">
        <f>RANK(Table_Cleaned_Data[[#This Row],[Market Cap]],Table_Cleaned_Data[Market Cap],0)</f>
        <v>31</v>
      </c>
      <c r="K24" t="str">
        <f t="shared" si="0"/>
        <v>0–0.5</v>
      </c>
    </row>
    <row r="25" spans="1:11" x14ac:dyDescent="0.35">
      <c r="A25" t="s">
        <v>161</v>
      </c>
      <c r="B25" t="s">
        <v>161</v>
      </c>
      <c r="C25">
        <v>8.9200000000000002E-2</v>
      </c>
      <c r="D25">
        <v>8.0000000000000002E-3</v>
      </c>
      <c r="E25">
        <v>374367380</v>
      </c>
      <c r="F25">
        <v>9083545</v>
      </c>
      <c r="G25" t="s">
        <v>165</v>
      </c>
      <c r="H25">
        <v>4190000000.0000005</v>
      </c>
      <c r="I25">
        <f>Table_Cleaned_Data[[#This Row],[Volume (24h) USD]]/Table_Cleaned_Data[[#This Row],[Circulating_Supply($)]]</f>
        <v>2.1679105011933172E-3</v>
      </c>
      <c r="J25">
        <f>RANK(Table_Cleaned_Data[[#This Row],[Market Cap]],Table_Cleaned_Data[Market Cap],0)</f>
        <v>32</v>
      </c>
      <c r="K25" t="str">
        <f t="shared" si="0"/>
        <v>0–0.5</v>
      </c>
    </row>
    <row r="26" spans="1:11" x14ac:dyDescent="0.35">
      <c r="A26" t="s">
        <v>166</v>
      </c>
      <c r="B26" t="s">
        <v>167</v>
      </c>
      <c r="C26">
        <v>18.7</v>
      </c>
      <c r="D26">
        <v>2.7000000000000001E-3</v>
      </c>
      <c r="E26">
        <v>373513513</v>
      </c>
      <c r="F26">
        <v>10885014</v>
      </c>
      <c r="G26" t="s">
        <v>20</v>
      </c>
      <c r="H26">
        <v>19960000</v>
      </c>
      <c r="I26">
        <f>Table_Cleaned_Data[[#This Row],[Volume (24h) USD]]/Table_Cleaned_Data[[#This Row],[Circulating_Supply($)]]</f>
        <v>0.54534138276553101</v>
      </c>
      <c r="J26">
        <f>RANK(Table_Cleaned_Data[[#This Row],[Market Cap]],Table_Cleaned_Data[Market Cap],0)</f>
        <v>33</v>
      </c>
      <c r="K26" t="str">
        <f t="shared" si="0"/>
        <v>10–100</v>
      </c>
    </row>
    <row r="27" spans="1:11" x14ac:dyDescent="0.35">
      <c r="A27" t="s">
        <v>172</v>
      </c>
      <c r="B27" t="s">
        <v>173</v>
      </c>
      <c r="C27">
        <v>0.06</v>
      </c>
      <c r="D27">
        <v>3.0999999999999999E-3</v>
      </c>
      <c r="E27">
        <v>371881052</v>
      </c>
      <c r="F27">
        <v>16546673</v>
      </c>
      <c r="G27" t="s">
        <v>177</v>
      </c>
      <c r="H27">
        <v>6190000000</v>
      </c>
      <c r="I27">
        <f>Table_Cleaned_Data[[#This Row],[Volume (24h) USD]]/Table_Cleaned_Data[[#This Row],[Circulating_Supply($)]]</f>
        <v>2.6731297253634895E-3</v>
      </c>
      <c r="J27">
        <f>RANK(Table_Cleaned_Data[[#This Row],[Market Cap]],Table_Cleaned_Data[Market Cap],0)</f>
        <v>34</v>
      </c>
      <c r="K27" t="str">
        <f t="shared" si="0"/>
        <v>0–0.5</v>
      </c>
    </row>
    <row r="28" spans="1:11" x14ac:dyDescent="0.35">
      <c r="A28" t="s">
        <v>178</v>
      </c>
      <c r="B28" t="s">
        <v>179</v>
      </c>
      <c r="C28">
        <v>9.68</v>
      </c>
      <c r="D28">
        <v>6.4000000000000003E-3</v>
      </c>
      <c r="E28">
        <v>369793963</v>
      </c>
      <c r="F28">
        <v>18934587</v>
      </c>
      <c r="G28" t="s">
        <v>184</v>
      </c>
      <c r="H28">
        <v>38190000</v>
      </c>
      <c r="I28">
        <f>Table_Cleaned_Data[[#This Row],[Volume (24h) USD]]/Table_Cleaned_Data[[#This Row],[Circulating_Supply($)]]</f>
        <v>0.49579960722702276</v>
      </c>
      <c r="J28">
        <f>RANK(Table_Cleaned_Data[[#This Row],[Market Cap]],Table_Cleaned_Data[Market Cap],0)</f>
        <v>35</v>
      </c>
      <c r="K28" t="str">
        <f t="shared" si="0"/>
        <v>2–10</v>
      </c>
    </row>
    <row r="29" spans="1:11" x14ac:dyDescent="0.35">
      <c r="A29" t="s">
        <v>185</v>
      </c>
      <c r="B29" t="s">
        <v>186</v>
      </c>
      <c r="C29">
        <v>7.1300000000000002E-2</v>
      </c>
      <c r="D29">
        <v>1.0200000000000001E-2</v>
      </c>
      <c r="E29">
        <v>368504918</v>
      </c>
      <c r="F29">
        <v>11229707</v>
      </c>
      <c r="G29" t="s">
        <v>191</v>
      </c>
      <c r="H29">
        <v>5160000000</v>
      </c>
      <c r="I29">
        <f>Table_Cleaned_Data[[#This Row],[Volume (24h) USD]]/Table_Cleaned_Data[[#This Row],[Circulating_Supply($)]]</f>
        <v>2.1762998062015504E-3</v>
      </c>
      <c r="J29">
        <f>RANK(Table_Cleaned_Data[[#This Row],[Market Cap]],Table_Cleaned_Data[Market Cap],0)</f>
        <v>36</v>
      </c>
      <c r="K29" t="str">
        <f t="shared" si="0"/>
        <v>0–0.5</v>
      </c>
    </row>
    <row r="30" spans="1:11" x14ac:dyDescent="0.35">
      <c r="A30" t="s">
        <v>192</v>
      </c>
      <c r="B30" t="s">
        <v>193</v>
      </c>
      <c r="C30">
        <v>0.83689999999999998</v>
      </c>
      <c r="D30">
        <v>3.5999999999999999E-3</v>
      </c>
      <c r="E30">
        <v>359773572</v>
      </c>
      <c r="F30">
        <v>15589502</v>
      </c>
      <c r="G30" t="s">
        <v>198</v>
      </c>
      <c r="H30">
        <v>429860000</v>
      </c>
      <c r="I30">
        <f>Table_Cleaned_Data[[#This Row],[Volume (24h) USD]]/Table_Cleaned_Data[[#This Row],[Circulating_Supply($)]]</f>
        <v>3.6266463499744106E-2</v>
      </c>
      <c r="J30">
        <f>RANK(Table_Cleaned_Data[[#This Row],[Market Cap]],Table_Cleaned_Data[Market Cap],0)</f>
        <v>37</v>
      </c>
      <c r="K30" t="str">
        <f t="shared" si="0"/>
        <v>0.5–1</v>
      </c>
    </row>
    <row r="31" spans="1:11" x14ac:dyDescent="0.35">
      <c r="A31" t="s">
        <v>199</v>
      </c>
      <c r="B31" t="s">
        <v>200</v>
      </c>
      <c r="C31">
        <v>6.3500000000000001E-2</v>
      </c>
      <c r="D31">
        <v>3.0999999999999999E-3</v>
      </c>
      <c r="E31">
        <v>351671089</v>
      </c>
      <c r="F31">
        <v>18785205</v>
      </c>
      <c r="G31" t="s">
        <v>204</v>
      </c>
      <c r="H31">
        <v>999990000000000</v>
      </c>
      <c r="I31">
        <f>Table_Cleaned_Data[[#This Row],[Volume (24h) USD]]/Table_Cleaned_Data[[#This Row],[Circulating_Supply($)]]</f>
        <v>1.8785392853928538E-8</v>
      </c>
      <c r="J31">
        <f>RANK(Table_Cleaned_Data[[#This Row],[Market Cap]],Table_Cleaned_Data[Market Cap],0)</f>
        <v>38</v>
      </c>
      <c r="K31" t="str">
        <f t="shared" si="0"/>
        <v>0–0.5</v>
      </c>
    </row>
    <row r="32" spans="1:11" x14ac:dyDescent="0.35">
      <c r="A32" t="s">
        <v>205</v>
      </c>
      <c r="B32" t="s">
        <v>206</v>
      </c>
      <c r="C32">
        <v>7.6E-3</v>
      </c>
      <c r="D32">
        <v>2.0999999999999999E-3</v>
      </c>
      <c r="E32">
        <v>2591576160</v>
      </c>
      <c r="F32">
        <v>25925939</v>
      </c>
      <c r="G32" t="s">
        <v>210</v>
      </c>
      <c r="H32">
        <v>339530000000</v>
      </c>
      <c r="I32">
        <f>Table_Cleaned_Data[[#This Row],[Volume (24h) USD]]/Table_Cleaned_Data[[#This Row],[Circulating_Supply($)]]</f>
        <v>7.6358315907283598E-5</v>
      </c>
      <c r="J32">
        <f>RANK(Table_Cleaned_Data[[#This Row],[Market Cap]],Table_Cleaned_Data[Market Cap],0)</f>
        <v>15</v>
      </c>
      <c r="K32" t="str">
        <f t="shared" si="0"/>
        <v>0–0.5</v>
      </c>
    </row>
    <row r="33" spans="1:11" x14ac:dyDescent="0.35">
      <c r="A33" t="s">
        <v>211</v>
      </c>
      <c r="B33" t="s">
        <v>212</v>
      </c>
      <c r="C33">
        <v>0.99770000000000003</v>
      </c>
      <c r="D33">
        <v>5.9999999999999995E-4</v>
      </c>
      <c r="E33">
        <v>2106884484</v>
      </c>
      <c r="F33">
        <v>584085</v>
      </c>
      <c r="G33" t="s">
        <v>216</v>
      </c>
      <c r="H33">
        <v>2109999999.9999998</v>
      </c>
      <c r="I33">
        <f>Table_Cleaned_Data[[#This Row],[Volume (24h) USD]]/Table_Cleaned_Data[[#This Row],[Circulating_Supply($)]]</f>
        <v>2.7681753554502375E-4</v>
      </c>
      <c r="J33">
        <f>RANK(Table_Cleaned_Data[[#This Row],[Market Cap]],Table_Cleaned_Data[Market Cap],0)</f>
        <v>16</v>
      </c>
      <c r="K33" t="str">
        <f t="shared" si="0"/>
        <v>0.5–1</v>
      </c>
    </row>
    <row r="34" spans="1:11" x14ac:dyDescent="0.35">
      <c r="A34" t="s">
        <v>217</v>
      </c>
      <c r="B34" t="s">
        <v>218</v>
      </c>
      <c r="C34">
        <v>4.53</v>
      </c>
      <c r="D34">
        <v>2.3999999999999998E-3</v>
      </c>
      <c r="E34">
        <v>1535961932</v>
      </c>
      <c r="F34">
        <v>14587641</v>
      </c>
      <c r="G34" t="s">
        <v>223</v>
      </c>
      <c r="H34">
        <v>338430000</v>
      </c>
      <c r="I34">
        <f>Table_Cleaned_Data[[#This Row],[Volume (24h) USD]]/Table_Cleaned_Data[[#This Row],[Circulating_Supply($)]]</f>
        <v>4.3103864905593474E-2</v>
      </c>
      <c r="J34">
        <f>RANK(Table_Cleaned_Data[[#This Row],[Market Cap]],Table_Cleaned_Data[Market Cap],0)</f>
        <v>17</v>
      </c>
      <c r="K34" t="str">
        <f t="shared" si="0"/>
        <v>2–10</v>
      </c>
    </row>
    <row r="35" spans="1:11" x14ac:dyDescent="0.35">
      <c r="A35" t="s">
        <v>224</v>
      </c>
      <c r="B35" t="s">
        <v>225</v>
      </c>
      <c r="C35">
        <v>9.7500000000000003E-2</v>
      </c>
      <c r="D35">
        <v>1.5299999999999999E-2</v>
      </c>
      <c r="E35">
        <v>729098862</v>
      </c>
      <c r="F35">
        <v>10825041</v>
      </c>
      <c r="G35" t="s">
        <v>230</v>
      </c>
      <c r="H35">
        <v>7470000000</v>
      </c>
      <c r="I35">
        <f>Table_Cleaned_Data[[#This Row],[Volume (24h) USD]]/Table_Cleaned_Data[[#This Row],[Circulating_Supply($)]]</f>
        <v>1.4491353413654618E-3</v>
      </c>
      <c r="J35">
        <f>RANK(Table_Cleaned_Data[[#This Row],[Market Cap]],Table_Cleaned_Data[Market Cap],0)</f>
        <v>18</v>
      </c>
      <c r="K35" t="str">
        <f t="shared" si="0"/>
        <v>0–0.5</v>
      </c>
    </row>
    <row r="36" spans="1:11" x14ac:dyDescent="0.35">
      <c r="A36" t="s">
        <v>231</v>
      </c>
      <c r="B36" t="s">
        <v>232</v>
      </c>
      <c r="C36">
        <v>1.1100000000000001</v>
      </c>
      <c r="D36">
        <v>1E-4</v>
      </c>
      <c r="E36">
        <v>695165286</v>
      </c>
      <c r="F36">
        <v>1491792</v>
      </c>
      <c r="G36" t="s">
        <v>236</v>
      </c>
      <c r="H36">
        <v>622760000</v>
      </c>
      <c r="I36">
        <f>Table_Cleaned_Data[[#This Row],[Volume (24h) USD]]/Table_Cleaned_Data[[#This Row],[Circulating_Supply($)]]</f>
        <v>2.3954525017663305E-3</v>
      </c>
      <c r="J36">
        <f>RANK(Table_Cleaned_Data[[#This Row],[Market Cap]],Table_Cleaned_Data[Market Cap],0)</f>
        <v>19</v>
      </c>
      <c r="K36" t="str">
        <f t="shared" si="0"/>
        <v>1–2</v>
      </c>
    </row>
    <row r="37" spans="1:11" x14ac:dyDescent="0.35">
      <c r="A37" t="s">
        <v>237</v>
      </c>
      <c r="B37" t="s">
        <v>238</v>
      </c>
      <c r="C37">
        <v>1.39</v>
      </c>
      <c r="D37">
        <v>1E-4</v>
      </c>
      <c r="E37">
        <v>610617101</v>
      </c>
      <c r="F37">
        <v>14824547</v>
      </c>
      <c r="G37" t="s">
        <v>242</v>
      </c>
      <c r="H37">
        <v>436260000</v>
      </c>
      <c r="I37">
        <f>Table_Cleaned_Data[[#This Row],[Volume (24h) USD]]/Table_Cleaned_Data[[#This Row],[Circulating_Supply($)]]</f>
        <v>3.3980990693623071E-2</v>
      </c>
      <c r="J37">
        <f>RANK(Table_Cleaned_Data[[#This Row],[Market Cap]],Table_Cleaned_Data[Market Cap],0)</f>
        <v>20</v>
      </c>
      <c r="K37" t="str">
        <f t="shared" si="0"/>
        <v>1–2</v>
      </c>
    </row>
    <row r="38" spans="1:11" x14ac:dyDescent="0.35">
      <c r="A38" t="s">
        <v>243</v>
      </c>
      <c r="B38" t="s">
        <v>244</v>
      </c>
      <c r="C38">
        <v>0.99819999999999998</v>
      </c>
      <c r="D38">
        <v>0</v>
      </c>
      <c r="E38">
        <v>562841704</v>
      </c>
      <c r="F38">
        <v>360034</v>
      </c>
      <c r="G38" t="s">
        <v>248</v>
      </c>
      <c r="H38">
        <v>563830000</v>
      </c>
      <c r="I38">
        <f>Table_Cleaned_Data[[#This Row],[Volume (24h) USD]]/Table_Cleaned_Data[[#This Row],[Circulating_Supply($)]]</f>
        <v>6.3855062696202753E-4</v>
      </c>
      <c r="J38">
        <f>RANK(Table_Cleaned_Data[[#This Row],[Market Cap]],Table_Cleaned_Data[Market Cap],0)</f>
        <v>21</v>
      </c>
      <c r="K38" t="str">
        <f t="shared" si="0"/>
        <v>0.5–1</v>
      </c>
    </row>
    <row r="39" spans="1:11" x14ac:dyDescent="0.35">
      <c r="A39" t="s">
        <v>249</v>
      </c>
      <c r="B39" t="s">
        <v>250</v>
      </c>
      <c r="C39">
        <v>1</v>
      </c>
      <c r="D39">
        <v>0</v>
      </c>
      <c r="E39">
        <v>501660920</v>
      </c>
      <c r="F39">
        <v>0</v>
      </c>
      <c r="G39" t="s">
        <v>254</v>
      </c>
      <c r="H39">
        <v>501350000</v>
      </c>
      <c r="I39">
        <f>Table_Cleaned_Data[[#This Row],[Volume (24h) USD]]/Table_Cleaned_Data[[#This Row],[Circulating_Supply($)]]</f>
        <v>0</v>
      </c>
      <c r="J39">
        <f>RANK(Table_Cleaned_Data[[#This Row],[Market Cap]],Table_Cleaned_Data[Market Cap],0)</f>
        <v>22</v>
      </c>
      <c r="K39" t="str">
        <f t="shared" si="0"/>
        <v>0.5–1</v>
      </c>
    </row>
    <row r="40" spans="1:11" x14ac:dyDescent="0.35">
      <c r="A40" t="s">
        <v>255</v>
      </c>
      <c r="B40" t="s">
        <v>255</v>
      </c>
      <c r="C40">
        <v>0.99939999999999996</v>
      </c>
      <c r="D40">
        <v>2.0000000000000001E-4</v>
      </c>
      <c r="E40">
        <v>494983038</v>
      </c>
      <c r="F40">
        <v>112416</v>
      </c>
      <c r="G40" t="s">
        <v>260</v>
      </c>
      <c r="H40">
        <v>495250000</v>
      </c>
      <c r="I40">
        <f>Table_Cleaned_Data[[#This Row],[Volume (24h) USD]]/Table_Cleaned_Data[[#This Row],[Circulating_Supply($)]]</f>
        <v>2.2698838970217061E-4</v>
      </c>
      <c r="J40">
        <f>RANK(Table_Cleaned_Data[[#This Row],[Market Cap]],Table_Cleaned_Data[Market Cap],0)</f>
        <v>23</v>
      </c>
      <c r="K40" t="str">
        <f t="shared" si="0"/>
        <v>0.5–1</v>
      </c>
    </row>
    <row r="41" spans="1:11" x14ac:dyDescent="0.35">
      <c r="A41" t="s">
        <v>261</v>
      </c>
      <c r="B41" t="s">
        <v>262</v>
      </c>
      <c r="C41">
        <v>0.99409999999999998</v>
      </c>
      <c r="D41">
        <v>1.4E-3</v>
      </c>
      <c r="E41">
        <v>278706336</v>
      </c>
      <c r="F41">
        <v>185066</v>
      </c>
      <c r="G41" t="s">
        <v>266</v>
      </c>
      <c r="H41">
        <v>280350000</v>
      </c>
      <c r="I41">
        <f>Table_Cleaned_Data[[#This Row],[Volume (24h) USD]]/Table_Cleaned_Data[[#This Row],[Circulating_Supply($)]]</f>
        <v>6.6012484394506867E-4</v>
      </c>
      <c r="J41">
        <f>RANK(Table_Cleaned_Data[[#This Row],[Market Cap]],Table_Cleaned_Data[Market Cap],0)</f>
        <v>39</v>
      </c>
      <c r="K41" t="str">
        <f t="shared" si="0"/>
        <v>0.5–1</v>
      </c>
    </row>
    <row r="42" spans="1:11" x14ac:dyDescent="0.35">
      <c r="A42" t="s">
        <v>267</v>
      </c>
      <c r="B42" t="s">
        <v>268</v>
      </c>
      <c r="C42">
        <v>0.27060000000000001</v>
      </c>
      <c r="D42">
        <v>0</v>
      </c>
      <c r="E42">
        <v>265798946</v>
      </c>
      <c r="F42">
        <v>206045</v>
      </c>
      <c r="G42" t="s">
        <v>272</v>
      </c>
      <c r="H42">
        <v>982250000</v>
      </c>
      <c r="I42">
        <f>Table_Cleaned_Data[[#This Row],[Volume (24h) USD]]/Table_Cleaned_Data[[#This Row],[Circulating_Supply($)]]</f>
        <v>2.0976838890302877E-4</v>
      </c>
      <c r="J42">
        <f>RANK(Table_Cleaned_Data[[#This Row],[Market Cap]],Table_Cleaned_Data[Market Cap],0)</f>
        <v>40</v>
      </c>
      <c r="K42" t="str">
        <f t="shared" si="0"/>
        <v>0–0.5</v>
      </c>
    </row>
    <row r="43" spans="1:11" x14ac:dyDescent="0.35">
      <c r="A43" t="s">
        <v>273</v>
      </c>
      <c r="B43" t="s">
        <v>274</v>
      </c>
      <c r="C43">
        <v>0.60119999999999996</v>
      </c>
      <c r="D43">
        <v>2.0000000000000001E-4</v>
      </c>
      <c r="E43">
        <v>248711592</v>
      </c>
      <c r="F43">
        <v>162903</v>
      </c>
      <c r="G43" t="s">
        <v>278</v>
      </c>
      <c r="H43">
        <v>413620000</v>
      </c>
      <c r="I43">
        <f>Table_Cleaned_Data[[#This Row],[Volume (24h) USD]]/Table_Cleaned_Data[[#This Row],[Circulating_Supply($)]]</f>
        <v>3.9384700933223731E-4</v>
      </c>
      <c r="J43">
        <f>RANK(Table_Cleaned_Data[[#This Row],[Market Cap]],Table_Cleaned_Data[Market Cap],0)</f>
        <v>41</v>
      </c>
      <c r="K43" t="str">
        <f t="shared" si="0"/>
        <v>0.5–1</v>
      </c>
    </row>
    <row r="44" spans="1:11" x14ac:dyDescent="0.35">
      <c r="A44" t="s">
        <v>279</v>
      </c>
      <c r="B44" t="s">
        <v>280</v>
      </c>
      <c r="C44">
        <v>5.1200000000000002E-2</v>
      </c>
      <c r="D44">
        <v>8.9999999999999998E-4</v>
      </c>
      <c r="E44">
        <v>247500195</v>
      </c>
      <c r="F44">
        <v>30888957</v>
      </c>
      <c r="G44" t="s">
        <v>285</v>
      </c>
      <c r="H44">
        <v>210000000000000</v>
      </c>
      <c r="I44">
        <f>Table_Cleaned_Data[[#This Row],[Volume (24h) USD]]/Table_Cleaned_Data[[#This Row],[Circulating_Supply($)]]</f>
        <v>1.4709027142857144E-7</v>
      </c>
      <c r="J44">
        <f>RANK(Table_Cleaned_Data[[#This Row],[Market Cap]],Table_Cleaned_Data[Market Cap],0)</f>
        <v>42</v>
      </c>
      <c r="K44" t="str">
        <f t="shared" si="0"/>
        <v>0–0.5</v>
      </c>
    </row>
    <row r="45" spans="1:11" x14ac:dyDescent="0.35">
      <c r="A45" t="s">
        <v>286</v>
      </c>
      <c r="B45" t="s">
        <v>287</v>
      </c>
      <c r="C45">
        <v>6.8999999999999999E-3</v>
      </c>
      <c r="D45">
        <v>2.0000000000000001E-4</v>
      </c>
      <c r="E45">
        <v>211588925</v>
      </c>
      <c r="F45">
        <v>719363</v>
      </c>
      <c r="G45" t="s">
        <v>291</v>
      </c>
      <c r="H45">
        <v>30840000000</v>
      </c>
      <c r="I45">
        <f>Table_Cleaned_Data[[#This Row],[Volume (24h) USD]]/Table_Cleaned_Data[[#This Row],[Circulating_Supply($)]]</f>
        <v>2.3325648508430609E-5</v>
      </c>
      <c r="J45">
        <f>RANK(Table_Cleaned_Data[[#This Row],[Market Cap]],Table_Cleaned_Data[Market Cap],0)</f>
        <v>43</v>
      </c>
      <c r="K45" t="str">
        <f t="shared" si="0"/>
        <v>0–0.5</v>
      </c>
    </row>
    <row r="46" spans="1:11" x14ac:dyDescent="0.35">
      <c r="A46" t="s">
        <v>292</v>
      </c>
      <c r="B46" t="s">
        <v>293</v>
      </c>
      <c r="C46">
        <v>2.67</v>
      </c>
      <c r="D46">
        <v>4.1000000000000003E-3</v>
      </c>
      <c r="E46">
        <v>203655032</v>
      </c>
      <c r="F46">
        <v>2180013</v>
      </c>
      <c r="G46" t="s">
        <v>298</v>
      </c>
      <c r="H46">
        <v>76170000</v>
      </c>
      <c r="I46">
        <f>Table_Cleaned_Data[[#This Row],[Volume (24h) USD]]/Table_Cleaned_Data[[#This Row],[Circulating_Supply($)]]</f>
        <v>2.862036234738086E-2</v>
      </c>
      <c r="J46">
        <f>RANK(Table_Cleaned_Data[[#This Row],[Market Cap]],Table_Cleaned_Data[Market Cap],0)</f>
        <v>44</v>
      </c>
      <c r="K46" t="str">
        <f t="shared" si="0"/>
        <v>2–10</v>
      </c>
    </row>
    <row r="47" spans="1:11" x14ac:dyDescent="0.35">
      <c r="A47" t="s">
        <v>299</v>
      </c>
      <c r="B47" t="s">
        <v>300</v>
      </c>
      <c r="C47">
        <v>8.1500000000000003E-2</v>
      </c>
      <c r="D47">
        <v>9.9000000000000008E-3</v>
      </c>
      <c r="E47">
        <v>79843036</v>
      </c>
      <c r="F47">
        <v>8208437</v>
      </c>
      <c r="G47" t="s">
        <v>305</v>
      </c>
      <c r="H47">
        <v>979970000</v>
      </c>
      <c r="I47">
        <f>Table_Cleaned_Data[[#This Row],[Volume (24h) USD]]/Table_Cleaned_Data[[#This Row],[Circulating_Supply($)]]</f>
        <v>8.3762125371184826E-3</v>
      </c>
      <c r="J47">
        <f>RANK(Table_Cleaned_Data[[#This Row],[Market Cap]],Table_Cleaned_Data[Market Cap],0)</f>
        <v>45</v>
      </c>
      <c r="K47" t="str">
        <f t="shared" si="0"/>
        <v>0–0.5</v>
      </c>
    </row>
    <row r="48" spans="1:11" x14ac:dyDescent="0.35">
      <c r="A48" t="s">
        <v>306</v>
      </c>
      <c r="B48" t="s">
        <v>307</v>
      </c>
      <c r="C48">
        <v>6.9599999999999995E-2</v>
      </c>
      <c r="D48">
        <v>4.7000000000000002E-3</v>
      </c>
      <c r="E48">
        <v>79635764</v>
      </c>
      <c r="F48">
        <v>27951784</v>
      </c>
      <c r="G48" t="s">
        <v>153</v>
      </c>
      <c r="H48">
        <v>1140000000</v>
      </c>
      <c r="I48">
        <f>Table_Cleaned_Data[[#This Row],[Volume (24h) USD]]/Table_Cleaned_Data[[#This Row],[Circulating_Supply($)]]</f>
        <v>2.4519108771929823E-2</v>
      </c>
      <c r="J48">
        <f>RANK(Table_Cleaned_Data[[#This Row],[Market Cap]],Table_Cleaned_Data[Market Cap],0)</f>
        <v>46</v>
      </c>
      <c r="K48" t="str">
        <f t="shared" si="0"/>
        <v>0–0.5</v>
      </c>
    </row>
    <row r="49" spans="1:11" x14ac:dyDescent="0.35">
      <c r="A49" t="s">
        <v>312</v>
      </c>
      <c r="B49" t="s">
        <v>313</v>
      </c>
      <c r="C49">
        <v>4.7999999999999996E-3</v>
      </c>
      <c r="D49">
        <v>9.1999999999999998E-3</v>
      </c>
      <c r="E49">
        <v>79478245</v>
      </c>
      <c r="F49">
        <v>4045300</v>
      </c>
      <c r="G49" t="s">
        <v>318</v>
      </c>
      <c r="H49">
        <v>16520000000</v>
      </c>
      <c r="I49">
        <f>Table_Cleaned_Data[[#This Row],[Volume (24h) USD]]/Table_Cleaned_Data[[#This Row],[Circulating_Supply($)]]</f>
        <v>2.4487288135593223E-4</v>
      </c>
      <c r="J49">
        <f>RANK(Table_Cleaned_Data[[#This Row],[Market Cap]],Table_Cleaned_Data[Market Cap],0)</f>
        <v>47</v>
      </c>
      <c r="K49" t="str">
        <f t="shared" si="0"/>
        <v>0–0.5</v>
      </c>
    </row>
    <row r="50" spans="1:11" x14ac:dyDescent="0.35">
      <c r="A50" t="s">
        <v>319</v>
      </c>
      <c r="B50" t="s">
        <v>320</v>
      </c>
      <c r="C50">
        <v>4.05</v>
      </c>
      <c r="D50">
        <v>3.5000000000000001E-3</v>
      </c>
      <c r="E50">
        <v>79390425</v>
      </c>
      <c r="F50">
        <v>20435643</v>
      </c>
      <c r="G50" t="s">
        <v>325</v>
      </c>
      <c r="H50">
        <v>19600000</v>
      </c>
      <c r="I50">
        <f>Table_Cleaned_Data[[#This Row],[Volume (24h) USD]]/Table_Cleaned_Data[[#This Row],[Circulating_Supply($)]]</f>
        <v>1.0426348469387756</v>
      </c>
      <c r="J50">
        <f>RANK(Table_Cleaned_Data[[#This Row],[Market Cap]],Table_Cleaned_Data[Market Cap],0)</f>
        <v>48</v>
      </c>
      <c r="K50" t="str">
        <f t="shared" si="0"/>
        <v>2–10</v>
      </c>
    </row>
    <row r="51" spans="1:11" x14ac:dyDescent="0.35">
      <c r="A51" t="s">
        <v>326</v>
      </c>
      <c r="B51" t="s">
        <v>327</v>
      </c>
      <c r="C51">
        <v>2.8E-3</v>
      </c>
      <c r="D51">
        <v>1E-3</v>
      </c>
      <c r="E51">
        <v>79288970</v>
      </c>
      <c r="F51">
        <v>2515229</v>
      </c>
      <c r="G51" t="s">
        <v>332</v>
      </c>
      <c r="H51">
        <v>28230000000</v>
      </c>
      <c r="I51">
        <f>Table_Cleaned_Data[[#This Row],[Volume (24h) USD]]/Table_Cleaned_Data[[#This Row],[Circulating_Supply($)]]</f>
        <v>8.9097732908253636E-5</v>
      </c>
      <c r="J51">
        <f>RANK(Table_Cleaned_Data[[#This Row],[Market Cap]],Table_Cleaned_Data[Market Cap],0)</f>
        <v>49</v>
      </c>
      <c r="K51" t="str">
        <f t="shared" si="0"/>
        <v>0–0.5</v>
      </c>
    </row>
    <row r="52" spans="1:11" x14ac:dyDescent="0.35">
      <c r="A52" t="s">
        <v>333</v>
      </c>
      <c r="B52" t="s">
        <v>334</v>
      </c>
      <c r="C52">
        <v>1.1000000000000001E-3</v>
      </c>
      <c r="D52">
        <v>4.5999999999999999E-3</v>
      </c>
      <c r="E52">
        <v>78874838</v>
      </c>
      <c r="F52">
        <v>3614454</v>
      </c>
      <c r="G52" t="s">
        <v>339</v>
      </c>
      <c r="H52">
        <v>74760000000</v>
      </c>
      <c r="I52">
        <f>Table_Cleaned_Data[[#This Row],[Volume (24h) USD]]/Table_Cleaned_Data[[#This Row],[Circulating_Supply($)]]</f>
        <v>4.8347431781701447E-5</v>
      </c>
      <c r="J52">
        <f>RANK(Table_Cleaned_Data[[#This Row],[Market Cap]],Table_Cleaned_Data[Market Cap],0)</f>
        <v>50</v>
      </c>
      <c r="K52" t="str">
        <f t="shared" si="0"/>
        <v>0–0.5</v>
      </c>
    </row>
    <row r="53" spans="1:11" x14ac:dyDescent="0.35">
      <c r="A53" t="s">
        <v>340</v>
      </c>
      <c r="B53" t="s">
        <v>341</v>
      </c>
      <c r="C53">
        <v>5.7500000000000002E-2</v>
      </c>
      <c r="D53">
        <v>7.1000000000000004E-3</v>
      </c>
      <c r="E53">
        <v>78721990</v>
      </c>
      <c r="F53">
        <v>13802540</v>
      </c>
      <c r="G53" t="s">
        <v>346</v>
      </c>
      <c r="H53">
        <v>1360000000</v>
      </c>
      <c r="I53">
        <f>Table_Cleaned_Data[[#This Row],[Volume (24h) USD]]/Table_Cleaned_Data[[#This Row],[Circulating_Supply($)]]</f>
        <v>1.0148926470588236E-2</v>
      </c>
      <c r="J53">
        <f>RANK(Table_Cleaned_Data[[#This Row],[Market Cap]],Table_Cleaned_Data[Market Cap],0)</f>
        <v>51</v>
      </c>
      <c r="K53" t="str">
        <f t="shared" si="0"/>
        <v>0–0.5</v>
      </c>
    </row>
    <row r="54" spans="1:11" x14ac:dyDescent="0.35">
      <c r="A54" t="s">
        <v>347</v>
      </c>
      <c r="B54" t="s">
        <v>348</v>
      </c>
      <c r="C54">
        <v>1.04E-2</v>
      </c>
      <c r="D54">
        <v>4.7999999999999996E-3</v>
      </c>
      <c r="E54">
        <v>78155285</v>
      </c>
      <c r="F54">
        <v>3750878</v>
      </c>
      <c r="G54" t="s">
        <v>353</v>
      </c>
      <c r="H54">
        <v>7530000000</v>
      </c>
      <c r="I54">
        <f>Table_Cleaned_Data[[#This Row],[Volume (24h) USD]]/Table_Cleaned_Data[[#This Row],[Circulating_Supply($)]]</f>
        <v>4.9812456839309427E-4</v>
      </c>
      <c r="J54">
        <f>RANK(Table_Cleaned_Data[[#This Row],[Market Cap]],Table_Cleaned_Data[Market Cap],0)</f>
        <v>52</v>
      </c>
      <c r="K54" t="str">
        <f t="shared" si="0"/>
        <v>0–0.5</v>
      </c>
    </row>
    <row r="55" spans="1:11" x14ac:dyDescent="0.35">
      <c r="A55" t="s">
        <v>354</v>
      </c>
      <c r="B55" t="s">
        <v>355</v>
      </c>
      <c r="C55">
        <v>1.04E-2</v>
      </c>
      <c r="D55">
        <v>8.3999999999999995E-3</v>
      </c>
      <c r="E55">
        <v>77913243</v>
      </c>
      <c r="F55">
        <v>1812441</v>
      </c>
      <c r="G55" t="s">
        <v>360</v>
      </c>
      <c r="H55">
        <v>7480000000</v>
      </c>
      <c r="I55">
        <f>Table_Cleaned_Data[[#This Row],[Volume (24h) USD]]/Table_Cleaned_Data[[#This Row],[Circulating_Supply($)]]</f>
        <v>2.4230494652406417E-4</v>
      </c>
      <c r="J55">
        <f>RANK(Table_Cleaned_Data[[#This Row],[Market Cap]],Table_Cleaned_Data[Market Cap],0)</f>
        <v>53</v>
      </c>
      <c r="K55" t="str">
        <f t="shared" si="0"/>
        <v>0–0.5</v>
      </c>
    </row>
    <row r="56" spans="1:11" x14ac:dyDescent="0.35">
      <c r="A56" t="s">
        <v>361</v>
      </c>
      <c r="B56" t="s">
        <v>362</v>
      </c>
      <c r="C56">
        <v>0.15579999999999999</v>
      </c>
      <c r="D56">
        <v>7.6E-3</v>
      </c>
      <c r="E56">
        <v>77060203</v>
      </c>
      <c r="F56">
        <v>7938135</v>
      </c>
      <c r="G56" t="s">
        <v>367</v>
      </c>
      <c r="H56">
        <v>494540000</v>
      </c>
      <c r="I56">
        <f>Table_Cleaned_Data[[#This Row],[Volume (24h) USD]]/Table_Cleaned_Data[[#This Row],[Circulating_Supply($)]]</f>
        <v>1.6051552958304686E-2</v>
      </c>
      <c r="J56">
        <f>RANK(Table_Cleaned_Data[[#This Row],[Market Cap]],Table_Cleaned_Data[Market Cap],0)</f>
        <v>54</v>
      </c>
      <c r="K56" t="str">
        <f t="shared" si="0"/>
        <v>0–0.5</v>
      </c>
    </row>
    <row r="57" spans="1:11" x14ac:dyDescent="0.35">
      <c r="A57" t="s">
        <v>368</v>
      </c>
      <c r="B57" t="s">
        <v>369</v>
      </c>
      <c r="C57">
        <v>1.17</v>
      </c>
      <c r="D57">
        <v>0</v>
      </c>
      <c r="E57">
        <v>76986337</v>
      </c>
      <c r="F57">
        <v>4555095</v>
      </c>
      <c r="G57" t="s">
        <v>373</v>
      </c>
      <c r="H57">
        <v>65750000</v>
      </c>
      <c r="I57">
        <f>Table_Cleaned_Data[[#This Row],[Volume (24h) USD]]/Table_Cleaned_Data[[#This Row],[Circulating_Supply($)]]</f>
        <v>6.9279011406844102E-2</v>
      </c>
      <c r="J57">
        <f>RANK(Table_Cleaned_Data[[#This Row],[Market Cap]],Table_Cleaned_Data[Market Cap],0)</f>
        <v>55</v>
      </c>
      <c r="K57" t="str">
        <f t="shared" si="0"/>
        <v>1–2</v>
      </c>
    </row>
    <row r="58" spans="1:11" x14ac:dyDescent="0.35">
      <c r="A58" t="s">
        <v>374</v>
      </c>
      <c r="B58" t="s">
        <v>375</v>
      </c>
      <c r="C58">
        <v>8.9999999999999998E-4</v>
      </c>
      <c r="D58">
        <v>0.01</v>
      </c>
      <c r="E58">
        <v>76913570</v>
      </c>
      <c r="F58">
        <v>12405461</v>
      </c>
      <c r="G58" t="s">
        <v>380</v>
      </c>
      <c r="H58">
        <v>88880000000</v>
      </c>
      <c r="I58">
        <f>Table_Cleaned_Data[[#This Row],[Volume (24h) USD]]/Table_Cleaned_Data[[#This Row],[Circulating_Supply($)]]</f>
        <v>1.3957539378937894E-4</v>
      </c>
      <c r="J58">
        <f>RANK(Table_Cleaned_Data[[#This Row],[Market Cap]],Table_Cleaned_Data[Market Cap],0)</f>
        <v>56</v>
      </c>
      <c r="K58" t="str">
        <f t="shared" si="0"/>
        <v>0–0.5</v>
      </c>
    </row>
    <row r="59" spans="1:11" x14ac:dyDescent="0.35">
      <c r="A59" t="s">
        <v>381</v>
      </c>
      <c r="B59" t="s">
        <v>382</v>
      </c>
      <c r="C59">
        <v>6.2700000000000006E-2</v>
      </c>
      <c r="D59">
        <v>1E-4</v>
      </c>
      <c r="E59">
        <v>76834825</v>
      </c>
      <c r="F59">
        <v>447796</v>
      </c>
      <c r="G59" t="s">
        <v>386</v>
      </c>
      <c r="H59">
        <v>280130000000000</v>
      </c>
      <c r="I59">
        <f>Table_Cleaned_Data[[#This Row],[Volume (24h) USD]]/Table_Cleaned_Data[[#This Row],[Circulating_Supply($)]]</f>
        <v>1.598529254274801E-9</v>
      </c>
      <c r="J59">
        <f>RANK(Table_Cleaned_Data[[#This Row],[Market Cap]],Table_Cleaned_Data[Market Cap],0)</f>
        <v>57</v>
      </c>
      <c r="K59" t="str">
        <f t="shared" si="0"/>
        <v>0–0.5</v>
      </c>
    </row>
    <row r="60" spans="1:11" x14ac:dyDescent="0.35">
      <c r="A60" t="s">
        <v>387</v>
      </c>
      <c r="B60" t="s">
        <v>388</v>
      </c>
      <c r="C60">
        <v>9.3899999999999997E-2</v>
      </c>
      <c r="D60">
        <v>1.18E-2</v>
      </c>
      <c r="E60">
        <v>76645429</v>
      </c>
      <c r="F60">
        <v>2729606</v>
      </c>
      <c r="G60" t="s">
        <v>393</v>
      </c>
      <c r="H60">
        <v>816170000</v>
      </c>
      <c r="I60">
        <f>Table_Cleaned_Data[[#This Row],[Volume (24h) USD]]/Table_Cleaned_Data[[#This Row],[Circulating_Supply($)]]</f>
        <v>3.3444086403567885E-3</v>
      </c>
      <c r="J60">
        <f>RANK(Table_Cleaned_Data[[#This Row],[Market Cap]],Table_Cleaned_Data[Market Cap],0)</f>
        <v>58</v>
      </c>
      <c r="K60" t="str">
        <f t="shared" si="0"/>
        <v>0–0.5</v>
      </c>
    </row>
    <row r="61" spans="1:11" x14ac:dyDescent="0.35">
      <c r="A61" t="s">
        <v>394</v>
      </c>
      <c r="B61" t="s">
        <v>395</v>
      </c>
      <c r="C61">
        <v>7.7999999999999996E-3</v>
      </c>
      <c r="D61">
        <v>2.9999999999999997E-4</v>
      </c>
      <c r="E61">
        <v>76634277</v>
      </c>
      <c r="F61">
        <v>4586042</v>
      </c>
      <c r="G61" t="s">
        <v>400</v>
      </c>
      <c r="H61">
        <v>9780000000</v>
      </c>
      <c r="I61">
        <f>Table_Cleaned_Data[[#This Row],[Volume (24h) USD]]/Table_Cleaned_Data[[#This Row],[Circulating_Supply($)]]</f>
        <v>4.6892044989775051E-4</v>
      </c>
      <c r="J61">
        <f>RANK(Table_Cleaned_Data[[#This Row],[Market Cap]],Table_Cleaned_Data[Market Cap],0)</f>
        <v>59</v>
      </c>
      <c r="K61" t="str">
        <f t="shared" si="0"/>
        <v>0–0.5</v>
      </c>
    </row>
    <row r="62" spans="1:11" x14ac:dyDescent="0.35">
      <c r="A62" t="s">
        <v>401</v>
      </c>
      <c r="B62" t="s">
        <v>402</v>
      </c>
      <c r="C62">
        <v>2.76E-2</v>
      </c>
      <c r="D62">
        <v>6.1000000000000004E-3</v>
      </c>
      <c r="E62">
        <v>52914915</v>
      </c>
      <c r="F62">
        <v>5555762</v>
      </c>
      <c r="G62" t="s">
        <v>407</v>
      </c>
      <c r="H62">
        <v>1910000000</v>
      </c>
      <c r="I62">
        <f>Table_Cleaned_Data[[#This Row],[Volume (24h) USD]]/Table_Cleaned_Data[[#This Row],[Circulating_Supply($)]]</f>
        <v>2.9087759162303665E-3</v>
      </c>
      <c r="J62">
        <f>RANK(Table_Cleaned_Data[[#This Row],[Market Cap]],Table_Cleaned_Data[Market Cap],0)</f>
        <v>60</v>
      </c>
      <c r="K62" t="str">
        <f t="shared" si="0"/>
        <v>0–0.5</v>
      </c>
    </row>
    <row r="63" spans="1:11" x14ac:dyDescent="0.35">
      <c r="A63" t="s">
        <v>408</v>
      </c>
      <c r="B63" t="s">
        <v>409</v>
      </c>
      <c r="C63">
        <v>0.16919999999999999</v>
      </c>
      <c r="D63">
        <v>9.4999999999999998E-3</v>
      </c>
      <c r="E63">
        <v>52882038</v>
      </c>
      <c r="F63">
        <v>9820133</v>
      </c>
      <c r="G63" t="s">
        <v>414</v>
      </c>
      <c r="H63">
        <v>312510000</v>
      </c>
      <c r="I63">
        <f>Table_Cleaned_Data[[#This Row],[Volume (24h) USD]]/Table_Cleaned_Data[[#This Row],[Circulating_Supply($)]]</f>
        <v>3.1423420050558384E-2</v>
      </c>
      <c r="J63">
        <f>RANK(Table_Cleaned_Data[[#This Row],[Market Cap]],Table_Cleaned_Data[Market Cap],0)</f>
        <v>61</v>
      </c>
      <c r="K63" t="str">
        <f t="shared" si="0"/>
        <v>0–0.5</v>
      </c>
    </row>
    <row r="64" spans="1:11" x14ac:dyDescent="0.35">
      <c r="A64" t="s">
        <v>415</v>
      </c>
      <c r="B64" t="s">
        <v>416</v>
      </c>
      <c r="C64">
        <v>3.5999999999999999E-3</v>
      </c>
      <c r="D64">
        <v>6.4999999999999997E-3</v>
      </c>
      <c r="E64">
        <v>52657130</v>
      </c>
      <c r="F64">
        <v>4008415</v>
      </c>
      <c r="G64" t="s">
        <v>420</v>
      </c>
      <c r="H64">
        <v>14790000000</v>
      </c>
      <c r="I64">
        <f>Table_Cleaned_Data[[#This Row],[Volume (24h) USD]]/Table_Cleaned_Data[[#This Row],[Circulating_Supply($)]]</f>
        <v>2.7102197430696419E-4</v>
      </c>
      <c r="J64">
        <f>RANK(Table_Cleaned_Data[[#This Row],[Market Cap]],Table_Cleaned_Data[Market Cap],0)</f>
        <v>63</v>
      </c>
      <c r="K64" t="str">
        <f t="shared" si="0"/>
        <v>0–0.5</v>
      </c>
    </row>
    <row r="65" spans="1:11" x14ac:dyDescent="0.35">
      <c r="A65" t="s">
        <v>421</v>
      </c>
      <c r="B65" t="s">
        <v>422</v>
      </c>
      <c r="C65">
        <v>0.25769999999999998</v>
      </c>
      <c r="D65">
        <v>0.1008</v>
      </c>
      <c r="E65">
        <v>52836877</v>
      </c>
      <c r="F65">
        <v>166881260</v>
      </c>
      <c r="G65" t="s">
        <v>427</v>
      </c>
      <c r="H65">
        <v>205000000</v>
      </c>
      <c r="I65">
        <f>Table_Cleaned_Data[[#This Row],[Volume (24h) USD]]/Table_Cleaned_Data[[#This Row],[Circulating_Supply($)]]</f>
        <v>0.81405492682926828</v>
      </c>
      <c r="J65">
        <f>RANK(Table_Cleaned_Data[[#This Row],[Market Cap]],Table_Cleaned_Data[Market Cap],0)</f>
        <v>62</v>
      </c>
      <c r="K65" t="str">
        <f t="shared" si="0"/>
        <v>0–0.5</v>
      </c>
    </row>
    <row r="66" spans="1:11" x14ac:dyDescent="0.35">
      <c r="A66" t="s">
        <v>428</v>
      </c>
      <c r="B66" t="s">
        <v>429</v>
      </c>
      <c r="C66">
        <v>0.4234</v>
      </c>
      <c r="D66">
        <v>1E-4</v>
      </c>
      <c r="E66">
        <v>52548578</v>
      </c>
      <c r="F66">
        <v>16913</v>
      </c>
      <c r="G66" t="s">
        <v>433</v>
      </c>
      <c r="H66">
        <v>124080000</v>
      </c>
      <c r="I66">
        <f>Table_Cleaned_Data[[#This Row],[Volume (24h) USD]]/Table_Cleaned_Data[[#This Row],[Circulating_Supply($)]]</f>
        <v>1.3630722114764667E-4</v>
      </c>
      <c r="J66">
        <f>RANK(Table_Cleaned_Data[[#This Row],[Market Cap]],Table_Cleaned_Data[Market Cap],0)</f>
        <v>64</v>
      </c>
      <c r="K66" t="str">
        <f t="shared" ref="K66:K129" si="1">IF(C66&lt;=0.5,"0–0.5",
IF(C66&lt;=1,"0.5–1",
IF(C66&lt;=2,"1–2",
IF(C66&lt;=10,"2–10",
IF(C66&lt;=100,"10–100",
IF(C66&lt;=1000,"100–1000",
IF(C66&lt;=10000,"1000–10000",
"10000+")))))))</f>
        <v>0–0.5</v>
      </c>
    </row>
    <row r="67" spans="1:11" x14ac:dyDescent="0.35">
      <c r="A67" t="s">
        <v>434</v>
      </c>
      <c r="B67" t="s">
        <v>434</v>
      </c>
      <c r="C67">
        <v>2.7699999999999999E-2</v>
      </c>
      <c r="D67">
        <v>9.5999999999999992E-3</v>
      </c>
      <c r="E67">
        <v>52537357</v>
      </c>
      <c r="F67">
        <v>12248565</v>
      </c>
      <c r="G67" t="s">
        <v>439</v>
      </c>
      <c r="H67">
        <v>1890000000</v>
      </c>
      <c r="I67">
        <f>Table_Cleaned_Data[[#This Row],[Volume (24h) USD]]/Table_Cleaned_Data[[#This Row],[Circulating_Supply($)]]</f>
        <v>6.4807222222222219E-3</v>
      </c>
      <c r="J67">
        <f>RANK(Table_Cleaned_Data[[#This Row],[Market Cap]],Table_Cleaned_Data[Market Cap],0)</f>
        <v>65</v>
      </c>
      <c r="K67" t="str">
        <f t="shared" si="1"/>
        <v>0–0.5</v>
      </c>
    </row>
    <row r="68" spans="1:11" x14ac:dyDescent="0.35">
      <c r="A68" t="s">
        <v>440</v>
      </c>
      <c r="B68" t="s">
        <v>441</v>
      </c>
      <c r="C68">
        <v>19.14</v>
      </c>
      <c r="D68">
        <v>7.7999999999999996E-3</v>
      </c>
      <c r="E68">
        <v>52368644</v>
      </c>
      <c r="F68">
        <v>9477300</v>
      </c>
      <c r="G68" t="s">
        <v>446</v>
      </c>
      <c r="H68">
        <v>2730000</v>
      </c>
      <c r="I68">
        <f>Table_Cleaned_Data[[#This Row],[Volume (24h) USD]]/Table_Cleaned_Data[[#This Row],[Circulating_Supply($)]]</f>
        <v>3.4715384615384615</v>
      </c>
      <c r="J68">
        <f>RANK(Table_Cleaned_Data[[#This Row],[Market Cap]],Table_Cleaned_Data[Market Cap],0)</f>
        <v>66</v>
      </c>
      <c r="K68" t="str">
        <f t="shared" si="1"/>
        <v>10–100</v>
      </c>
    </row>
    <row r="69" spans="1:11" x14ac:dyDescent="0.35">
      <c r="A69" t="s">
        <v>447</v>
      </c>
      <c r="B69" t="s">
        <v>448</v>
      </c>
      <c r="C69">
        <v>4356.1000000000004</v>
      </c>
      <c r="D69">
        <v>1E-4</v>
      </c>
      <c r="E69">
        <v>52353793</v>
      </c>
      <c r="F69">
        <v>120938</v>
      </c>
      <c r="G69" t="s">
        <v>452</v>
      </c>
      <c r="H69">
        <v>12010</v>
      </c>
      <c r="I69">
        <f>Table_Cleaned_Data[[#This Row],[Volume (24h) USD]]/Table_Cleaned_Data[[#This Row],[Circulating_Supply($)]]</f>
        <v>10.069775187343881</v>
      </c>
      <c r="J69">
        <f>RANK(Table_Cleaned_Data[[#This Row],[Market Cap]],Table_Cleaned_Data[Market Cap],0)</f>
        <v>67</v>
      </c>
      <c r="K69" t="str">
        <f t="shared" si="1"/>
        <v>1000–10000</v>
      </c>
    </row>
    <row r="70" spans="1:11" x14ac:dyDescent="0.35">
      <c r="A70" t="s">
        <v>453</v>
      </c>
      <c r="B70" t="s">
        <v>454</v>
      </c>
      <c r="C70">
        <v>6.7000000000000002E-3</v>
      </c>
      <c r="D70">
        <v>5.4899999999999997E-2</v>
      </c>
      <c r="E70">
        <v>52309004</v>
      </c>
      <c r="F70">
        <v>28154057</v>
      </c>
      <c r="G70" t="s">
        <v>459</v>
      </c>
      <c r="H70">
        <v>7800000000</v>
      </c>
      <c r="I70">
        <f>Table_Cleaned_Data[[#This Row],[Volume (24h) USD]]/Table_Cleaned_Data[[#This Row],[Circulating_Supply($)]]</f>
        <v>3.6094944871794873E-3</v>
      </c>
      <c r="J70">
        <f>RANK(Table_Cleaned_Data[[#This Row],[Market Cap]],Table_Cleaned_Data[Market Cap],0)</f>
        <v>68</v>
      </c>
      <c r="K70" t="str">
        <f t="shared" si="1"/>
        <v>0–0.5</v>
      </c>
    </row>
    <row r="71" spans="1:11" x14ac:dyDescent="0.35">
      <c r="A71" t="s">
        <v>460</v>
      </c>
      <c r="B71" t="s">
        <v>461</v>
      </c>
      <c r="C71">
        <v>5.6399999999999999E-2</v>
      </c>
      <c r="D71">
        <v>1.23E-2</v>
      </c>
      <c r="E71">
        <v>52300293</v>
      </c>
      <c r="F71">
        <v>6761082</v>
      </c>
      <c r="G71" t="s">
        <v>466</v>
      </c>
      <c r="H71">
        <v>927620000</v>
      </c>
      <c r="I71">
        <f>Table_Cleaned_Data[[#This Row],[Volume (24h) USD]]/Table_Cleaned_Data[[#This Row],[Circulating_Supply($)]]</f>
        <v>7.2886332765572113E-3</v>
      </c>
      <c r="J71">
        <f>RANK(Table_Cleaned_Data[[#This Row],[Market Cap]],Table_Cleaned_Data[Market Cap],0)</f>
        <v>69</v>
      </c>
      <c r="K71" t="str">
        <f t="shared" si="1"/>
        <v>0–0.5</v>
      </c>
    </row>
    <row r="72" spans="1:11" x14ac:dyDescent="0.35">
      <c r="A72" t="s">
        <v>467</v>
      </c>
      <c r="B72" t="s">
        <v>467</v>
      </c>
      <c r="C72">
        <v>0</v>
      </c>
      <c r="D72">
        <v>2.9999999999999997E-4</v>
      </c>
      <c r="E72">
        <v>52238423</v>
      </c>
      <c r="F72">
        <v>6093856</v>
      </c>
      <c r="G72" t="s">
        <v>471</v>
      </c>
      <c r="H72">
        <v>1410000000000</v>
      </c>
      <c r="I72">
        <f>Table_Cleaned_Data[[#This Row],[Volume (24h) USD]]/Table_Cleaned_Data[[#This Row],[Circulating_Supply($)]]</f>
        <v>4.3218836879432625E-6</v>
      </c>
      <c r="J72">
        <f>RANK(Table_Cleaned_Data[[#This Row],[Market Cap]],Table_Cleaned_Data[Market Cap],0)</f>
        <v>70</v>
      </c>
      <c r="K72" t="str">
        <f t="shared" si="1"/>
        <v>0–0.5</v>
      </c>
    </row>
    <row r="73" spans="1:11" x14ac:dyDescent="0.35">
      <c r="A73" t="s">
        <v>472</v>
      </c>
      <c r="B73" t="s">
        <v>472</v>
      </c>
      <c r="C73">
        <v>7.7999999999999996E-3</v>
      </c>
      <c r="D73">
        <v>1.1000000000000001E-3</v>
      </c>
      <c r="E73">
        <v>52087682</v>
      </c>
      <c r="F73">
        <v>621225</v>
      </c>
      <c r="G73" t="s">
        <v>477</v>
      </c>
      <c r="H73">
        <v>6720000000</v>
      </c>
      <c r="I73">
        <f>Table_Cleaned_Data[[#This Row],[Volume (24h) USD]]/Table_Cleaned_Data[[#This Row],[Circulating_Supply($)]]</f>
        <v>9.2444196428571431E-5</v>
      </c>
      <c r="J73">
        <f>RANK(Table_Cleaned_Data[[#This Row],[Market Cap]],Table_Cleaned_Data[Market Cap],0)</f>
        <v>71</v>
      </c>
      <c r="K73" t="str">
        <f t="shared" si="1"/>
        <v>0–0.5</v>
      </c>
    </row>
    <row r="74" spans="1:11" x14ac:dyDescent="0.35">
      <c r="A74" t="s">
        <v>478</v>
      </c>
      <c r="B74" t="s">
        <v>479</v>
      </c>
      <c r="C74">
        <v>1.66E-2</v>
      </c>
      <c r="D74">
        <v>1.77E-2</v>
      </c>
      <c r="E74">
        <v>51914331</v>
      </c>
      <c r="F74">
        <v>56942962</v>
      </c>
      <c r="G74" t="s">
        <v>484</v>
      </c>
      <c r="H74">
        <v>3130000000</v>
      </c>
      <c r="I74">
        <f>Table_Cleaned_Data[[#This Row],[Volume (24h) USD]]/Table_Cleaned_Data[[#This Row],[Circulating_Supply($)]]</f>
        <v>1.819263961661342E-2</v>
      </c>
      <c r="J74">
        <f>RANK(Table_Cleaned_Data[[#This Row],[Market Cap]],Table_Cleaned_Data[Market Cap],0)</f>
        <v>72</v>
      </c>
      <c r="K74" t="str">
        <f t="shared" si="1"/>
        <v>0–0.5</v>
      </c>
    </row>
    <row r="75" spans="1:11" x14ac:dyDescent="0.35">
      <c r="A75" t="s">
        <v>485</v>
      </c>
      <c r="B75" t="s">
        <v>486</v>
      </c>
      <c r="C75">
        <v>7.0999999999999994E-2</v>
      </c>
      <c r="D75">
        <v>7.7999999999999996E-3</v>
      </c>
      <c r="E75">
        <v>51784517</v>
      </c>
      <c r="F75">
        <v>11686775</v>
      </c>
      <c r="G75" t="s">
        <v>490</v>
      </c>
      <c r="H75">
        <v>728920000</v>
      </c>
      <c r="I75">
        <f>Table_Cleaned_Data[[#This Row],[Volume (24h) USD]]/Table_Cleaned_Data[[#This Row],[Circulating_Supply($)]]</f>
        <v>1.6033000878011305E-2</v>
      </c>
      <c r="J75">
        <f>RANK(Table_Cleaned_Data[[#This Row],[Market Cap]],Table_Cleaned_Data[Market Cap],0)</f>
        <v>73</v>
      </c>
      <c r="K75" t="str">
        <f t="shared" si="1"/>
        <v>0–0.5</v>
      </c>
    </row>
    <row r="76" spans="1:11" x14ac:dyDescent="0.35">
      <c r="A76" t="s">
        <v>491</v>
      </c>
      <c r="B76" t="s">
        <v>492</v>
      </c>
      <c r="C76">
        <v>3.1199999999999999E-2</v>
      </c>
      <c r="D76">
        <v>1.2699999999999999E-2</v>
      </c>
      <c r="E76">
        <v>51688897</v>
      </c>
      <c r="F76">
        <v>4447052</v>
      </c>
      <c r="G76" t="s">
        <v>497</v>
      </c>
      <c r="H76">
        <v>1650000000</v>
      </c>
      <c r="I76">
        <f>Table_Cleaned_Data[[#This Row],[Volume (24h) USD]]/Table_Cleaned_Data[[#This Row],[Circulating_Supply($)]]</f>
        <v>2.6951830303030304E-3</v>
      </c>
      <c r="J76">
        <f>RANK(Table_Cleaned_Data[[#This Row],[Market Cap]],Table_Cleaned_Data[Market Cap],0)</f>
        <v>74</v>
      </c>
      <c r="K76" t="str">
        <f t="shared" si="1"/>
        <v>0–0.5</v>
      </c>
    </row>
    <row r="77" spans="1:11" x14ac:dyDescent="0.35">
      <c r="A77" t="s">
        <v>498</v>
      </c>
      <c r="B77" t="s">
        <v>499</v>
      </c>
      <c r="C77">
        <v>0.17610000000000001</v>
      </c>
      <c r="D77">
        <v>1.14E-2</v>
      </c>
      <c r="E77">
        <v>37963403</v>
      </c>
      <c r="F77">
        <v>8807387</v>
      </c>
      <c r="G77" t="s">
        <v>504</v>
      </c>
      <c r="H77">
        <v>215500000</v>
      </c>
      <c r="I77">
        <f>Table_Cleaned_Data[[#This Row],[Volume (24h) USD]]/Table_Cleaned_Data[[#This Row],[Circulating_Supply($)]]</f>
        <v>4.0869545243619493E-2</v>
      </c>
      <c r="J77">
        <f>RANK(Table_Cleaned_Data[[#This Row],[Market Cap]],Table_Cleaned_Data[Market Cap],0)</f>
        <v>75</v>
      </c>
      <c r="K77" t="str">
        <f t="shared" si="1"/>
        <v>0–0.5</v>
      </c>
    </row>
    <row r="78" spans="1:11" x14ac:dyDescent="0.35">
      <c r="A78" t="s">
        <v>505</v>
      </c>
      <c r="B78" t="s">
        <v>506</v>
      </c>
      <c r="C78">
        <v>5.1400000000000001E-2</v>
      </c>
      <c r="D78">
        <v>5.9999999999999995E-4</v>
      </c>
      <c r="E78">
        <v>37951269</v>
      </c>
      <c r="F78">
        <v>217133</v>
      </c>
      <c r="G78" t="s">
        <v>510</v>
      </c>
      <c r="H78">
        <v>737520000</v>
      </c>
      <c r="I78">
        <f>Table_Cleaned_Data[[#This Row],[Volume (24h) USD]]/Table_Cleaned_Data[[#This Row],[Circulating_Supply($)]]</f>
        <v>2.9440964312832195E-4</v>
      </c>
      <c r="J78">
        <f>RANK(Table_Cleaned_Data[[#This Row],[Market Cap]],Table_Cleaned_Data[Market Cap],0)</f>
        <v>76</v>
      </c>
      <c r="K78" t="str">
        <f t="shared" si="1"/>
        <v>0–0.5</v>
      </c>
    </row>
    <row r="79" spans="1:11" x14ac:dyDescent="0.35">
      <c r="A79" t="s">
        <v>511</v>
      </c>
      <c r="B79" t="s">
        <v>512</v>
      </c>
      <c r="C79">
        <v>1.9599999999999999E-2</v>
      </c>
      <c r="D79">
        <v>4.0000000000000001E-3</v>
      </c>
      <c r="E79">
        <v>37719971</v>
      </c>
      <c r="F79">
        <v>4889683</v>
      </c>
      <c r="G79" t="s">
        <v>517</v>
      </c>
      <c r="H79">
        <v>1920000000</v>
      </c>
      <c r="I79">
        <f>Table_Cleaned_Data[[#This Row],[Volume (24h) USD]]/Table_Cleaned_Data[[#This Row],[Circulating_Supply($)]]</f>
        <v>2.5467098958333332E-3</v>
      </c>
      <c r="J79">
        <f>RANK(Table_Cleaned_Data[[#This Row],[Market Cap]],Table_Cleaned_Data[Market Cap],0)</f>
        <v>77</v>
      </c>
      <c r="K79" t="str">
        <f t="shared" si="1"/>
        <v>0–0.5</v>
      </c>
    </row>
    <row r="80" spans="1:11" x14ac:dyDescent="0.35">
      <c r="A80" t="s">
        <v>518</v>
      </c>
      <c r="B80" t="s">
        <v>519</v>
      </c>
      <c r="C80">
        <v>1.2999999999999999E-2</v>
      </c>
      <c r="D80">
        <v>1E-3</v>
      </c>
      <c r="E80">
        <v>37475389</v>
      </c>
      <c r="F80">
        <v>8331707</v>
      </c>
      <c r="G80" t="s">
        <v>523</v>
      </c>
      <c r="H80">
        <v>2870000000</v>
      </c>
      <c r="I80">
        <f>Table_Cleaned_Data[[#This Row],[Volume (24h) USD]]/Table_Cleaned_Data[[#This Row],[Circulating_Supply($)]]</f>
        <v>2.9030337979094076E-3</v>
      </c>
      <c r="J80">
        <f>RANK(Table_Cleaned_Data[[#This Row],[Market Cap]],Table_Cleaned_Data[Market Cap],0)</f>
        <v>78</v>
      </c>
      <c r="K80" t="str">
        <f t="shared" si="1"/>
        <v>0–0.5</v>
      </c>
    </row>
    <row r="81" spans="1:11" x14ac:dyDescent="0.35">
      <c r="A81" t="s">
        <v>524</v>
      </c>
      <c r="B81" t="s">
        <v>525</v>
      </c>
      <c r="C81">
        <v>3.9399999999999998E-2</v>
      </c>
      <c r="D81">
        <v>2.7900000000000001E-2</v>
      </c>
      <c r="E81">
        <v>37344308</v>
      </c>
      <c r="F81">
        <v>133808206</v>
      </c>
      <c r="G81" t="s">
        <v>530</v>
      </c>
      <c r="H81">
        <v>948240000</v>
      </c>
      <c r="I81">
        <f>Table_Cleaned_Data[[#This Row],[Volume (24h) USD]]/Table_Cleaned_Data[[#This Row],[Circulating_Supply($)]]</f>
        <v>0.14111217202396018</v>
      </c>
      <c r="J81">
        <f>RANK(Table_Cleaned_Data[[#This Row],[Market Cap]],Table_Cleaned_Data[Market Cap],0)</f>
        <v>79</v>
      </c>
      <c r="K81" t="str">
        <f t="shared" si="1"/>
        <v>0–0.5</v>
      </c>
    </row>
    <row r="82" spans="1:11" x14ac:dyDescent="0.35">
      <c r="A82" t="s">
        <v>531</v>
      </c>
      <c r="B82" t="s">
        <v>532</v>
      </c>
      <c r="C82">
        <v>3.73E-2</v>
      </c>
      <c r="D82">
        <v>3.8999999999999998E-3</v>
      </c>
      <c r="E82">
        <v>37321954</v>
      </c>
      <c r="F82">
        <v>3794553</v>
      </c>
      <c r="G82" t="s">
        <v>537</v>
      </c>
      <c r="H82">
        <v>999790000</v>
      </c>
      <c r="I82">
        <f>Table_Cleaned_Data[[#This Row],[Volume (24h) USD]]/Table_Cleaned_Data[[#This Row],[Circulating_Supply($)]]</f>
        <v>3.7953500235049361E-3</v>
      </c>
      <c r="J82">
        <f>RANK(Table_Cleaned_Data[[#This Row],[Market Cap]],Table_Cleaned_Data[Market Cap],0)</f>
        <v>80</v>
      </c>
      <c r="K82" t="str">
        <f t="shared" si="1"/>
        <v>0–0.5</v>
      </c>
    </row>
    <row r="83" spans="1:11" x14ac:dyDescent="0.35">
      <c r="A83" t="s">
        <v>538</v>
      </c>
      <c r="B83" t="s">
        <v>539</v>
      </c>
      <c r="C83">
        <v>0.40689999999999998</v>
      </c>
      <c r="D83">
        <v>4.1000000000000003E-3</v>
      </c>
      <c r="E83">
        <v>37236360</v>
      </c>
      <c r="F83">
        <v>2801939</v>
      </c>
      <c r="G83" t="s">
        <v>543</v>
      </c>
      <c r="H83">
        <v>91490000</v>
      </c>
      <c r="I83">
        <f>Table_Cleaned_Data[[#This Row],[Volume (24h) USD]]/Table_Cleaned_Data[[#This Row],[Circulating_Supply($)]]</f>
        <v>3.0625631216526398E-2</v>
      </c>
      <c r="J83">
        <f>RANK(Table_Cleaned_Data[[#This Row],[Market Cap]],Table_Cleaned_Data[Market Cap],0)</f>
        <v>81</v>
      </c>
      <c r="K83" t="str">
        <f t="shared" si="1"/>
        <v>0–0.5</v>
      </c>
    </row>
    <row r="84" spans="1:11" x14ac:dyDescent="0.35">
      <c r="A84" t="s">
        <v>544</v>
      </c>
      <c r="B84" t="s">
        <v>545</v>
      </c>
      <c r="C84">
        <v>6.7000000000000002E-3</v>
      </c>
      <c r="D84">
        <v>1.0800000000000001E-2</v>
      </c>
      <c r="E84">
        <v>37191884</v>
      </c>
      <c r="F84">
        <v>9660516</v>
      </c>
      <c r="G84" t="s">
        <v>550</v>
      </c>
      <c r="H84">
        <v>5580000000</v>
      </c>
      <c r="I84">
        <f>Table_Cleaned_Data[[#This Row],[Volume (24h) USD]]/Table_Cleaned_Data[[#This Row],[Circulating_Supply($)]]</f>
        <v>1.7312752688172044E-3</v>
      </c>
      <c r="J84">
        <f>RANK(Table_Cleaned_Data[[#This Row],[Market Cap]],Table_Cleaned_Data[Market Cap],0)</f>
        <v>84</v>
      </c>
      <c r="K84" t="str">
        <f t="shared" si="1"/>
        <v>0–0.5</v>
      </c>
    </row>
    <row r="85" spans="1:11" x14ac:dyDescent="0.35">
      <c r="A85" t="s">
        <v>551</v>
      </c>
      <c r="B85" t="s">
        <v>552</v>
      </c>
      <c r="C85">
        <v>0.17199999999999999</v>
      </c>
      <c r="D85">
        <v>1.32E-2</v>
      </c>
      <c r="E85">
        <v>37194866</v>
      </c>
      <c r="F85">
        <v>335290359</v>
      </c>
      <c r="G85" t="s">
        <v>557</v>
      </c>
      <c r="H85">
        <v>216220000</v>
      </c>
      <c r="I85">
        <f>Table_Cleaned_Data[[#This Row],[Volume (24h) USD]]/Table_Cleaned_Data[[#This Row],[Circulating_Supply($)]]</f>
        <v>1.5506907732864674</v>
      </c>
      <c r="J85">
        <f>RANK(Table_Cleaned_Data[[#This Row],[Market Cap]],Table_Cleaned_Data[Market Cap],0)</f>
        <v>82</v>
      </c>
      <c r="K85" t="str">
        <f t="shared" si="1"/>
        <v>0–0.5</v>
      </c>
    </row>
    <row r="86" spans="1:11" x14ac:dyDescent="0.35">
      <c r="A86" t="s">
        <v>558</v>
      </c>
      <c r="B86" t="s">
        <v>559</v>
      </c>
      <c r="C86">
        <v>2.88</v>
      </c>
      <c r="D86">
        <v>4.4000000000000003E-3</v>
      </c>
      <c r="E86">
        <v>37194605</v>
      </c>
      <c r="F86">
        <v>2504670</v>
      </c>
      <c r="G86" t="s">
        <v>564</v>
      </c>
      <c r="H86">
        <v>12890000</v>
      </c>
      <c r="I86">
        <f>Table_Cleaned_Data[[#This Row],[Volume (24h) USD]]/Table_Cleaned_Data[[#This Row],[Circulating_Supply($)]]</f>
        <v>0.194311093871218</v>
      </c>
      <c r="J86">
        <f>RANK(Table_Cleaned_Data[[#This Row],[Market Cap]],Table_Cleaned_Data[Market Cap],0)</f>
        <v>83</v>
      </c>
      <c r="K86" t="str">
        <f t="shared" si="1"/>
        <v>2–10</v>
      </c>
    </row>
    <row r="87" spans="1:11" x14ac:dyDescent="0.35">
      <c r="A87" t="s">
        <v>565</v>
      </c>
      <c r="B87" t="s">
        <v>566</v>
      </c>
      <c r="C87">
        <v>5.44</v>
      </c>
      <c r="D87">
        <v>8.0999999999999996E-3</v>
      </c>
      <c r="E87">
        <v>37123485</v>
      </c>
      <c r="F87">
        <v>4761259</v>
      </c>
      <c r="G87" t="s">
        <v>571</v>
      </c>
      <c r="H87">
        <v>6810000</v>
      </c>
      <c r="I87">
        <f>Table_Cleaned_Data[[#This Row],[Volume (24h) USD]]/Table_Cleaned_Data[[#This Row],[Circulating_Supply($)]]</f>
        <v>0.6991569750367107</v>
      </c>
      <c r="J87">
        <f>RANK(Table_Cleaned_Data[[#This Row],[Market Cap]],Table_Cleaned_Data[Market Cap],0)</f>
        <v>85</v>
      </c>
      <c r="K87" t="str">
        <f t="shared" si="1"/>
        <v>2–10</v>
      </c>
    </row>
    <row r="88" spans="1:11" x14ac:dyDescent="0.35">
      <c r="A88" t="s">
        <v>572</v>
      </c>
      <c r="B88" t="s">
        <v>573</v>
      </c>
      <c r="C88">
        <v>7.0599999999999996E-2</v>
      </c>
      <c r="D88">
        <v>2E-3</v>
      </c>
      <c r="E88">
        <v>37052831</v>
      </c>
      <c r="F88">
        <v>7172434</v>
      </c>
      <c r="G88" t="s">
        <v>578</v>
      </c>
      <c r="H88">
        <v>525000000</v>
      </c>
      <c r="I88">
        <f>Table_Cleaned_Data[[#This Row],[Volume (24h) USD]]/Table_Cleaned_Data[[#This Row],[Circulating_Supply($)]]</f>
        <v>1.3661779047619048E-2</v>
      </c>
      <c r="J88">
        <f>RANK(Table_Cleaned_Data[[#This Row],[Market Cap]],Table_Cleaned_Data[Market Cap],0)</f>
        <v>86</v>
      </c>
      <c r="K88" t="str">
        <f t="shared" si="1"/>
        <v>0–0.5</v>
      </c>
    </row>
    <row r="89" spans="1:11" x14ac:dyDescent="0.35">
      <c r="A89" t="s">
        <v>579</v>
      </c>
      <c r="B89" t="s">
        <v>580</v>
      </c>
      <c r="C89">
        <v>1.41E-2</v>
      </c>
      <c r="D89">
        <v>1E-3</v>
      </c>
      <c r="E89">
        <v>36968498</v>
      </c>
      <c r="F89">
        <v>4049212</v>
      </c>
      <c r="G89" t="s">
        <v>584</v>
      </c>
      <c r="H89">
        <v>2620000000</v>
      </c>
      <c r="I89">
        <f>Table_Cleaned_Data[[#This Row],[Volume (24h) USD]]/Table_Cleaned_Data[[#This Row],[Circulating_Supply($)]]</f>
        <v>1.5455007633587785E-3</v>
      </c>
      <c r="J89">
        <f>RANK(Table_Cleaned_Data[[#This Row],[Market Cap]],Table_Cleaned_Data[Market Cap],0)</f>
        <v>87</v>
      </c>
      <c r="K89" t="str">
        <f t="shared" si="1"/>
        <v>0–0.5</v>
      </c>
    </row>
    <row r="90" spans="1:11" x14ac:dyDescent="0.35">
      <c r="A90" t="s">
        <v>585</v>
      </c>
      <c r="B90" t="s">
        <v>586</v>
      </c>
      <c r="C90">
        <v>0.38679999999999998</v>
      </c>
      <c r="D90">
        <v>5.7000000000000002E-3</v>
      </c>
      <c r="E90">
        <v>36948795</v>
      </c>
      <c r="F90">
        <v>4091513</v>
      </c>
      <c r="G90" t="s">
        <v>591</v>
      </c>
      <c r="H90">
        <v>95510000</v>
      </c>
      <c r="I90">
        <f>Table_Cleaned_Data[[#This Row],[Volume (24h) USD]]/Table_Cleaned_Data[[#This Row],[Circulating_Supply($)]]</f>
        <v>4.283858234739818E-2</v>
      </c>
      <c r="J90">
        <f>RANK(Table_Cleaned_Data[[#This Row],[Market Cap]],Table_Cleaned_Data[Market Cap],0)</f>
        <v>88</v>
      </c>
      <c r="K90" t="str">
        <f t="shared" si="1"/>
        <v>0–0.5</v>
      </c>
    </row>
    <row r="91" spans="1:11" x14ac:dyDescent="0.35">
      <c r="A91" t="s">
        <v>592</v>
      </c>
      <c r="B91" t="s">
        <v>592</v>
      </c>
      <c r="C91">
        <v>3.6700000000000003E-2</v>
      </c>
      <c r="D91">
        <v>3.1899999999999998E-2</v>
      </c>
      <c r="E91">
        <v>36712969</v>
      </c>
      <c r="F91">
        <v>3987767</v>
      </c>
      <c r="G91" t="s">
        <v>597</v>
      </c>
      <c r="H91">
        <v>1000000000</v>
      </c>
      <c r="I91">
        <f>Table_Cleaned_Data[[#This Row],[Volume (24h) USD]]/Table_Cleaned_Data[[#This Row],[Circulating_Supply($)]]</f>
        <v>3.9877669999999997E-3</v>
      </c>
      <c r="J91">
        <f>RANK(Table_Cleaned_Data[[#This Row],[Market Cap]],Table_Cleaned_Data[Market Cap],0)</f>
        <v>89</v>
      </c>
      <c r="K91" t="str">
        <f t="shared" si="1"/>
        <v>0–0.5</v>
      </c>
    </row>
    <row r="92" spans="1:11" x14ac:dyDescent="0.35">
      <c r="A92" t="s">
        <v>598</v>
      </c>
      <c r="B92" t="s">
        <v>599</v>
      </c>
      <c r="C92">
        <v>2.52E-2</v>
      </c>
      <c r="D92">
        <v>0.1186</v>
      </c>
      <c r="E92">
        <v>28119082</v>
      </c>
      <c r="F92">
        <v>228924</v>
      </c>
      <c r="G92" t="s">
        <v>604</v>
      </c>
      <c r="H92">
        <v>1110000000</v>
      </c>
      <c r="I92">
        <f>Table_Cleaned_Data[[#This Row],[Volume (24h) USD]]/Table_Cleaned_Data[[#This Row],[Circulating_Supply($)]]</f>
        <v>2.0623783783783783E-4</v>
      </c>
      <c r="J92">
        <f>RANK(Table_Cleaned_Data[[#This Row],[Market Cap]],Table_Cleaned_Data[Market Cap],0)</f>
        <v>90</v>
      </c>
      <c r="K92" t="str">
        <f t="shared" si="1"/>
        <v>0–0.5</v>
      </c>
    </row>
    <row r="93" spans="1:11" x14ac:dyDescent="0.35">
      <c r="A93" t="s">
        <v>605</v>
      </c>
      <c r="B93" t="s">
        <v>606</v>
      </c>
      <c r="C93">
        <v>8.2100000000000006E-2</v>
      </c>
      <c r="D93">
        <v>3.32E-2</v>
      </c>
      <c r="E93">
        <v>28030314</v>
      </c>
      <c r="F93">
        <v>44457598</v>
      </c>
      <c r="G93" t="s">
        <v>611</v>
      </c>
      <c r="H93">
        <v>341260000</v>
      </c>
      <c r="I93">
        <f>Table_Cleaned_Data[[#This Row],[Volume (24h) USD]]/Table_Cleaned_Data[[#This Row],[Circulating_Supply($)]]</f>
        <v>0.13027485787962256</v>
      </c>
      <c r="J93">
        <f>RANK(Table_Cleaned_Data[[#This Row],[Market Cap]],Table_Cleaned_Data[Market Cap],0)</f>
        <v>91</v>
      </c>
      <c r="K93" t="str">
        <f t="shared" si="1"/>
        <v>0–0.5</v>
      </c>
    </row>
    <row r="94" spans="1:11" x14ac:dyDescent="0.35">
      <c r="A94" t="s">
        <v>612</v>
      </c>
      <c r="B94" t="s">
        <v>613</v>
      </c>
      <c r="C94">
        <v>7.6799999999999993E-2</v>
      </c>
      <c r="D94">
        <v>5.0000000000000001E-4</v>
      </c>
      <c r="E94">
        <v>27988460</v>
      </c>
      <c r="F94">
        <v>11474920</v>
      </c>
      <c r="G94" t="s">
        <v>618</v>
      </c>
      <c r="H94">
        <v>364350000</v>
      </c>
      <c r="I94">
        <f>Table_Cleaned_Data[[#This Row],[Volume (24h) USD]]/Table_Cleaned_Data[[#This Row],[Circulating_Supply($)]]</f>
        <v>3.1494222588170716E-2</v>
      </c>
      <c r="J94">
        <f>RANK(Table_Cleaned_Data[[#This Row],[Market Cap]],Table_Cleaned_Data[Market Cap],0)</f>
        <v>92</v>
      </c>
      <c r="K94" t="str">
        <f t="shared" si="1"/>
        <v>0–0.5</v>
      </c>
    </row>
    <row r="95" spans="1:11" x14ac:dyDescent="0.35">
      <c r="A95" t="s">
        <v>619</v>
      </c>
      <c r="B95" t="s">
        <v>620</v>
      </c>
      <c r="C95">
        <v>0.72240000000000004</v>
      </c>
      <c r="D95">
        <v>1.6000000000000001E-3</v>
      </c>
      <c r="E95">
        <v>27987125</v>
      </c>
      <c r="F95">
        <v>246689</v>
      </c>
      <c r="G95" t="s">
        <v>625</v>
      </c>
      <c r="H95">
        <v>38740000</v>
      </c>
      <c r="I95">
        <f>Table_Cleaned_Data[[#This Row],[Volume (24h) USD]]/Table_Cleaned_Data[[#This Row],[Circulating_Supply($)]]</f>
        <v>6.3678110480123902E-3</v>
      </c>
      <c r="J95">
        <f>RANK(Table_Cleaned_Data[[#This Row],[Market Cap]],Table_Cleaned_Data[Market Cap],0)</f>
        <v>93</v>
      </c>
      <c r="K95" t="str">
        <f t="shared" si="1"/>
        <v>0.5–1</v>
      </c>
    </row>
    <row r="96" spans="1:11" x14ac:dyDescent="0.35">
      <c r="A96" t="s">
        <v>626</v>
      </c>
      <c r="B96" t="s">
        <v>627</v>
      </c>
      <c r="C96">
        <v>1.2</v>
      </c>
      <c r="D96">
        <v>4.3E-3</v>
      </c>
      <c r="E96">
        <v>27755771</v>
      </c>
      <c r="F96">
        <v>747728</v>
      </c>
      <c r="G96" t="s">
        <v>632</v>
      </c>
      <c r="H96">
        <v>23030000</v>
      </c>
      <c r="I96">
        <f>Table_Cleaned_Data[[#This Row],[Volume (24h) USD]]/Table_Cleaned_Data[[#This Row],[Circulating_Supply($)]]</f>
        <v>3.2467564046895353E-2</v>
      </c>
      <c r="J96">
        <f>RANK(Table_Cleaned_Data[[#This Row],[Market Cap]],Table_Cleaned_Data[Market Cap],0)</f>
        <v>94</v>
      </c>
      <c r="K96" t="str">
        <f t="shared" si="1"/>
        <v>1–2</v>
      </c>
    </row>
    <row r="97" spans="1:11" x14ac:dyDescent="0.35">
      <c r="A97" t="s">
        <v>639</v>
      </c>
      <c r="B97" t="s">
        <v>640</v>
      </c>
      <c r="C97">
        <v>2.76E-2</v>
      </c>
      <c r="D97">
        <v>0</v>
      </c>
      <c r="E97">
        <v>27523754</v>
      </c>
      <c r="F97">
        <v>517282</v>
      </c>
      <c r="G97" t="s">
        <v>644</v>
      </c>
      <c r="H97">
        <v>998920000</v>
      </c>
      <c r="I97">
        <f>Table_Cleaned_Data[[#This Row],[Volume (24h) USD]]/Table_Cleaned_Data[[#This Row],[Circulating_Supply($)]]</f>
        <v>5.1784126857005563E-4</v>
      </c>
      <c r="J97">
        <f>RANK(Table_Cleaned_Data[[#This Row],[Market Cap]],Table_Cleaned_Data[Market Cap],0)</f>
        <v>95</v>
      </c>
      <c r="K97" t="str">
        <f t="shared" si="1"/>
        <v>0–0.5</v>
      </c>
    </row>
    <row r="98" spans="1:11" x14ac:dyDescent="0.35">
      <c r="A98" t="s">
        <v>645</v>
      </c>
      <c r="B98" t="s">
        <v>646</v>
      </c>
      <c r="C98">
        <v>0.99970000000000003</v>
      </c>
      <c r="D98">
        <v>0</v>
      </c>
      <c r="E98">
        <v>27488408</v>
      </c>
      <c r="F98">
        <v>795</v>
      </c>
      <c r="G98" t="s">
        <v>649</v>
      </c>
      <c r="H98">
        <v>27490000</v>
      </c>
      <c r="I98">
        <f>Table_Cleaned_Data[[#This Row],[Volume (24h) USD]]/Table_Cleaned_Data[[#This Row],[Circulating_Supply($)]]</f>
        <v>2.8919607129865407E-5</v>
      </c>
      <c r="J98">
        <f>RANK(Table_Cleaned_Data[[#This Row],[Market Cap]],Table_Cleaned_Data[Market Cap],0)</f>
        <v>96</v>
      </c>
      <c r="K98" t="str">
        <f t="shared" si="1"/>
        <v>0.5–1</v>
      </c>
    </row>
    <row r="99" spans="1:11" x14ac:dyDescent="0.35">
      <c r="A99" t="s">
        <v>650</v>
      </c>
      <c r="B99" t="s">
        <v>650</v>
      </c>
      <c r="C99">
        <v>2.7699999999999999E-2</v>
      </c>
      <c r="D99">
        <v>1E-3</v>
      </c>
      <c r="E99">
        <v>27429852</v>
      </c>
      <c r="F99">
        <v>335896</v>
      </c>
      <c r="G99" t="s">
        <v>654</v>
      </c>
      <c r="H99">
        <v>990080000</v>
      </c>
      <c r="I99">
        <f>Table_Cleaned_Data[[#This Row],[Volume (24h) USD]]/Table_Cleaned_Data[[#This Row],[Circulating_Supply($)]]</f>
        <v>3.3926147382029733E-4</v>
      </c>
      <c r="J99">
        <f>RANK(Table_Cleaned_Data[[#This Row],[Market Cap]],Table_Cleaned_Data[Market Cap],0)</f>
        <v>97</v>
      </c>
      <c r="K99" t="str">
        <f t="shared" si="1"/>
        <v>0–0.5</v>
      </c>
    </row>
    <row r="100" spans="1:11" x14ac:dyDescent="0.35">
      <c r="A100" t="s">
        <v>655</v>
      </c>
      <c r="B100" t="s">
        <v>656</v>
      </c>
      <c r="C100">
        <v>0.1278</v>
      </c>
      <c r="D100">
        <v>1.4E-2</v>
      </c>
      <c r="E100">
        <v>27369787</v>
      </c>
      <c r="F100">
        <v>21891403</v>
      </c>
      <c r="G100" t="s">
        <v>661</v>
      </c>
      <c r="H100">
        <v>214020000</v>
      </c>
      <c r="I100">
        <f>Table_Cleaned_Data[[#This Row],[Volume (24h) USD]]/Table_Cleaned_Data[[#This Row],[Circulating_Supply($)]]</f>
        <v>0.10228671619474815</v>
      </c>
      <c r="J100">
        <f>RANK(Table_Cleaned_Data[[#This Row],[Market Cap]],Table_Cleaned_Data[Market Cap],0)</f>
        <v>98</v>
      </c>
      <c r="K100" t="str">
        <f t="shared" si="1"/>
        <v>0–0.5</v>
      </c>
    </row>
    <row r="101" spans="1:11" x14ac:dyDescent="0.35">
      <c r="A101" t="s">
        <v>662</v>
      </c>
      <c r="B101" t="s">
        <v>663</v>
      </c>
      <c r="C101">
        <v>8.9999999999999998E-4</v>
      </c>
      <c r="D101">
        <v>8.6999999999999994E-3</v>
      </c>
      <c r="E101">
        <v>27319469</v>
      </c>
      <c r="F101">
        <v>1830097</v>
      </c>
      <c r="G101" t="s">
        <v>668</v>
      </c>
      <c r="H101">
        <v>31370000000</v>
      </c>
      <c r="I101">
        <f>Table_Cleaned_Data[[#This Row],[Volume (24h) USD]]/Table_Cleaned_Data[[#This Row],[Circulating_Supply($)]]</f>
        <v>5.8339081925406439E-5</v>
      </c>
      <c r="J101">
        <f>RANK(Table_Cleaned_Data[[#This Row],[Market Cap]],Table_Cleaned_Data[Market Cap],0)</f>
        <v>99</v>
      </c>
      <c r="K101" t="str">
        <f t="shared" si="1"/>
        <v>0–0.5</v>
      </c>
    </row>
    <row r="102" spans="1:11" x14ac:dyDescent="0.35">
      <c r="A102" t="s">
        <v>669</v>
      </c>
      <c r="B102" t="s">
        <v>670</v>
      </c>
      <c r="C102">
        <v>65.61</v>
      </c>
      <c r="D102">
        <v>5.1999999999999998E-3</v>
      </c>
      <c r="E102">
        <v>27270904</v>
      </c>
      <c r="F102">
        <v>875162</v>
      </c>
      <c r="G102" t="s">
        <v>675</v>
      </c>
      <c r="H102">
        <v>415600</v>
      </c>
      <c r="I102">
        <f>Table_Cleaned_Data[[#This Row],[Volume (24h) USD]]/Table_Cleaned_Data[[#This Row],[Circulating_Supply($)]]</f>
        <v>2.1057795957651586</v>
      </c>
      <c r="J102">
        <f>RANK(Table_Cleaned_Data[[#This Row],[Market Cap]],Table_Cleaned_Data[Market Cap],0)</f>
        <v>100</v>
      </c>
      <c r="K102" t="str">
        <f t="shared" si="1"/>
        <v>10–100</v>
      </c>
    </row>
    <row r="103" spans="1:11" x14ac:dyDescent="0.35">
      <c r="A103" t="s">
        <v>676</v>
      </c>
      <c r="B103" t="s">
        <v>677</v>
      </c>
      <c r="C103">
        <v>2.7300000000000001E-2</v>
      </c>
      <c r="D103">
        <v>2.1399999999999999E-2</v>
      </c>
      <c r="E103">
        <v>27189900</v>
      </c>
      <c r="F103">
        <v>13350372</v>
      </c>
      <c r="G103" t="s">
        <v>682</v>
      </c>
      <c r="H103">
        <v>997210000</v>
      </c>
      <c r="I103">
        <f>Table_Cleaned_Data[[#This Row],[Volume (24h) USD]]/Table_Cleaned_Data[[#This Row],[Circulating_Supply($)]]</f>
        <v>1.3387723749260437E-2</v>
      </c>
      <c r="J103">
        <f>RANK(Table_Cleaned_Data[[#This Row],[Market Cap]],Table_Cleaned_Data[Market Cap],0)</f>
        <v>101</v>
      </c>
      <c r="K103" t="str">
        <f t="shared" si="1"/>
        <v>0–0.5</v>
      </c>
    </row>
    <row r="104" spans="1:11" x14ac:dyDescent="0.35">
      <c r="A104" t="s">
        <v>683</v>
      </c>
      <c r="B104" t="s">
        <v>684</v>
      </c>
      <c r="C104">
        <v>2.5000000000000001E-3</v>
      </c>
      <c r="D104">
        <v>4.0000000000000002E-4</v>
      </c>
      <c r="E104">
        <v>27118205</v>
      </c>
      <c r="F104">
        <v>1104839</v>
      </c>
      <c r="G104" t="s">
        <v>689</v>
      </c>
      <c r="H104">
        <v>10640000000</v>
      </c>
      <c r="I104">
        <f>Table_Cleaned_Data[[#This Row],[Volume (24h) USD]]/Table_Cleaned_Data[[#This Row],[Circulating_Supply($)]]</f>
        <v>1.0383825187969924E-4</v>
      </c>
      <c r="J104">
        <f>RANK(Table_Cleaned_Data[[#This Row],[Market Cap]],Table_Cleaned_Data[Market Cap],0)</f>
        <v>102</v>
      </c>
      <c r="K104" t="str">
        <f t="shared" si="1"/>
        <v>0–0.5</v>
      </c>
    </row>
    <row r="105" spans="1:11" x14ac:dyDescent="0.35">
      <c r="A105" t="s">
        <v>690</v>
      </c>
      <c r="B105" t="s">
        <v>691</v>
      </c>
      <c r="C105">
        <v>295.72000000000003</v>
      </c>
      <c r="D105">
        <v>0</v>
      </c>
      <c r="E105">
        <v>27036164</v>
      </c>
      <c r="F105">
        <v>8276</v>
      </c>
      <c r="G105" t="s">
        <v>695</v>
      </c>
      <c r="H105">
        <v>91420</v>
      </c>
      <c r="I105">
        <f>Table_Cleaned_Data[[#This Row],[Volume (24h) USD]]/Table_Cleaned_Data[[#This Row],[Circulating_Supply($)]]</f>
        <v>9.052723692846204E-2</v>
      </c>
      <c r="J105">
        <f>RANK(Table_Cleaned_Data[[#This Row],[Market Cap]],Table_Cleaned_Data[Market Cap],0)</f>
        <v>103</v>
      </c>
      <c r="K105" t="str">
        <f t="shared" si="1"/>
        <v>100–1000</v>
      </c>
    </row>
    <row r="106" spans="1:11" x14ac:dyDescent="0.35">
      <c r="A106" t="s">
        <v>696</v>
      </c>
      <c r="B106" t="s">
        <v>697</v>
      </c>
      <c r="C106">
        <v>0.47370000000000001</v>
      </c>
      <c r="D106">
        <v>2.7000000000000001E-3</v>
      </c>
      <c r="E106">
        <v>21288910</v>
      </c>
      <c r="F106">
        <v>3537872</v>
      </c>
      <c r="G106" t="s">
        <v>701</v>
      </c>
      <c r="H106">
        <v>44930000</v>
      </c>
      <c r="I106">
        <f>Table_Cleaned_Data[[#This Row],[Volume (24h) USD]]/Table_Cleaned_Data[[#This Row],[Circulating_Supply($)]]</f>
        <v>7.874186512352549E-2</v>
      </c>
      <c r="J106">
        <f>RANK(Table_Cleaned_Data[[#This Row],[Market Cap]],Table_Cleaned_Data[Market Cap],0)</f>
        <v>104</v>
      </c>
      <c r="K106" t="str">
        <f t="shared" si="1"/>
        <v>0–0.5</v>
      </c>
    </row>
    <row r="107" spans="1:11" x14ac:dyDescent="0.35">
      <c r="A107" t="s">
        <v>702</v>
      </c>
      <c r="B107" t="s">
        <v>703</v>
      </c>
      <c r="C107">
        <v>1.47</v>
      </c>
      <c r="D107">
        <v>7.3000000000000001E-3</v>
      </c>
      <c r="E107">
        <v>21183785</v>
      </c>
      <c r="F107">
        <v>2383053</v>
      </c>
      <c r="G107" t="s">
        <v>708</v>
      </c>
      <c r="H107">
        <v>14340000</v>
      </c>
      <c r="I107">
        <f>Table_Cleaned_Data[[#This Row],[Volume (24h) USD]]/Table_Cleaned_Data[[#This Row],[Circulating_Supply($)]]</f>
        <v>0.16618221757322177</v>
      </c>
      <c r="J107">
        <f>RANK(Table_Cleaned_Data[[#This Row],[Market Cap]],Table_Cleaned_Data[Market Cap],0)</f>
        <v>105</v>
      </c>
      <c r="K107" t="str">
        <f t="shared" si="1"/>
        <v>1–2</v>
      </c>
    </row>
    <row r="108" spans="1:11" x14ac:dyDescent="0.35">
      <c r="A108" t="s">
        <v>709</v>
      </c>
      <c r="B108" t="s">
        <v>710</v>
      </c>
      <c r="C108">
        <v>3.5099999999999999E-2</v>
      </c>
      <c r="D108">
        <v>8.6E-3</v>
      </c>
      <c r="E108">
        <v>21051661</v>
      </c>
      <c r="F108">
        <v>1063941</v>
      </c>
      <c r="G108" t="s">
        <v>714</v>
      </c>
      <c r="H108">
        <v>599260000</v>
      </c>
      <c r="I108">
        <f>Table_Cleaned_Data[[#This Row],[Volume (24h) USD]]/Table_Cleaned_Data[[#This Row],[Circulating_Supply($)]]</f>
        <v>1.7754246904515569E-3</v>
      </c>
      <c r="J108">
        <f>RANK(Table_Cleaned_Data[[#This Row],[Market Cap]],Table_Cleaned_Data[Market Cap],0)</f>
        <v>106</v>
      </c>
      <c r="K108" t="str">
        <f t="shared" si="1"/>
        <v>0–0.5</v>
      </c>
    </row>
    <row r="109" spans="1:11" x14ac:dyDescent="0.35">
      <c r="A109" t="s">
        <v>715</v>
      </c>
      <c r="B109" t="s">
        <v>716</v>
      </c>
      <c r="C109">
        <v>8.2199999999999995E-2</v>
      </c>
      <c r="D109">
        <v>1.6999999999999999E-3</v>
      </c>
      <c r="E109">
        <v>21028312</v>
      </c>
      <c r="F109">
        <v>2355636</v>
      </c>
      <c r="G109" t="s">
        <v>720</v>
      </c>
      <c r="H109">
        <v>255630000</v>
      </c>
      <c r="I109">
        <f>Table_Cleaned_Data[[#This Row],[Volume (24h) USD]]/Table_Cleaned_Data[[#This Row],[Circulating_Supply($)]]</f>
        <v>9.215021711066777E-3</v>
      </c>
      <c r="J109">
        <f>RANK(Table_Cleaned_Data[[#This Row],[Market Cap]],Table_Cleaned_Data[Market Cap],0)</f>
        <v>107</v>
      </c>
      <c r="K109" t="str">
        <f t="shared" si="1"/>
        <v>0–0.5</v>
      </c>
    </row>
    <row r="110" spans="1:11" x14ac:dyDescent="0.35">
      <c r="A110" t="s">
        <v>721</v>
      </c>
      <c r="B110" t="s">
        <v>722</v>
      </c>
      <c r="C110">
        <v>0.15909999999999999</v>
      </c>
      <c r="D110">
        <v>1.1000000000000001E-3</v>
      </c>
      <c r="E110">
        <v>20942083</v>
      </c>
      <c r="F110">
        <v>1755539</v>
      </c>
      <c r="G110" t="s">
        <v>726</v>
      </c>
      <c r="H110">
        <v>131590000</v>
      </c>
      <c r="I110">
        <f>Table_Cleaned_Data[[#This Row],[Volume (24h) USD]]/Table_Cleaned_Data[[#This Row],[Circulating_Supply($)]]</f>
        <v>1.3340975758036324E-2</v>
      </c>
      <c r="J110">
        <f>RANK(Table_Cleaned_Data[[#This Row],[Market Cap]],Table_Cleaned_Data[Market Cap],0)</f>
        <v>108</v>
      </c>
      <c r="K110" t="str">
        <f t="shared" si="1"/>
        <v>0–0.5</v>
      </c>
    </row>
    <row r="111" spans="1:11" x14ac:dyDescent="0.35">
      <c r="A111" t="s">
        <v>727</v>
      </c>
      <c r="B111" t="s">
        <v>728</v>
      </c>
      <c r="C111">
        <v>2.64E-2</v>
      </c>
      <c r="D111">
        <v>4.5999999999999999E-3</v>
      </c>
      <c r="E111">
        <v>20926607</v>
      </c>
      <c r="F111">
        <v>1923605</v>
      </c>
      <c r="G111" t="s">
        <v>732</v>
      </c>
      <c r="H111">
        <v>792710000</v>
      </c>
      <c r="I111">
        <f>Table_Cleaned_Data[[#This Row],[Volume (24h) USD]]/Table_Cleaned_Data[[#This Row],[Circulating_Supply($)]]</f>
        <v>2.4266188139420468E-3</v>
      </c>
      <c r="J111">
        <f>RANK(Table_Cleaned_Data[[#This Row],[Market Cap]],Table_Cleaned_Data[Market Cap],0)</f>
        <v>109</v>
      </c>
      <c r="K111" t="str">
        <f t="shared" si="1"/>
        <v>0–0.5</v>
      </c>
    </row>
    <row r="112" spans="1:11" x14ac:dyDescent="0.35">
      <c r="A112" t="s">
        <v>733</v>
      </c>
      <c r="B112" t="s">
        <v>734</v>
      </c>
      <c r="C112">
        <v>619.67999999999995</v>
      </c>
      <c r="D112">
        <v>4.0000000000000002E-4</v>
      </c>
      <c r="E112">
        <v>20833689</v>
      </c>
      <c r="F112">
        <v>301856</v>
      </c>
      <c r="G112" t="s">
        <v>738</v>
      </c>
      <c r="H112">
        <v>33610</v>
      </c>
      <c r="I112">
        <f>Table_Cleaned_Data[[#This Row],[Volume (24h) USD]]/Table_Cleaned_Data[[#This Row],[Circulating_Supply($)]]</f>
        <v>8.9811365664980656</v>
      </c>
      <c r="J112">
        <f>RANK(Table_Cleaned_Data[[#This Row],[Market Cap]],Table_Cleaned_Data[Market Cap],0)</f>
        <v>110</v>
      </c>
      <c r="K112" t="str">
        <f t="shared" si="1"/>
        <v>100–1000</v>
      </c>
    </row>
    <row r="113" spans="1:11" x14ac:dyDescent="0.35">
      <c r="A113" t="s">
        <v>739</v>
      </c>
      <c r="B113" t="s">
        <v>740</v>
      </c>
      <c r="C113">
        <v>6.2700000000000006E-2</v>
      </c>
      <c r="D113">
        <v>2.0000000000000001E-4</v>
      </c>
      <c r="E113">
        <v>20792425</v>
      </c>
      <c r="F113">
        <v>6073198</v>
      </c>
      <c r="G113" t="s">
        <v>744</v>
      </c>
      <c r="H113">
        <v>331380000</v>
      </c>
      <c r="I113">
        <f>Table_Cleaned_Data[[#This Row],[Volume (24h) USD]]/Table_Cleaned_Data[[#This Row],[Circulating_Supply($)]]</f>
        <v>1.832699016235138E-2</v>
      </c>
      <c r="J113">
        <f>RANK(Table_Cleaned_Data[[#This Row],[Market Cap]],Table_Cleaned_Data[Market Cap],0)</f>
        <v>111</v>
      </c>
      <c r="K113" t="str">
        <f t="shared" si="1"/>
        <v>0–0.5</v>
      </c>
    </row>
    <row r="114" spans="1:11" x14ac:dyDescent="0.35">
      <c r="A114" t="s">
        <v>745</v>
      </c>
      <c r="B114" t="s">
        <v>746</v>
      </c>
      <c r="C114">
        <v>8.4599999999999995E-2</v>
      </c>
      <c r="D114">
        <v>2.9999999999999997E-4</v>
      </c>
      <c r="E114">
        <v>20783563</v>
      </c>
      <c r="F114">
        <v>4249210</v>
      </c>
      <c r="G114" t="s">
        <v>750</v>
      </c>
      <c r="H114">
        <v>245710000</v>
      </c>
      <c r="I114">
        <f>Table_Cleaned_Data[[#This Row],[Volume (24h) USD]]/Table_Cleaned_Data[[#This Row],[Circulating_Supply($)]]</f>
        <v>1.7293598144153675E-2</v>
      </c>
      <c r="J114">
        <f>RANK(Table_Cleaned_Data[[#This Row],[Market Cap]],Table_Cleaned_Data[Market Cap],0)</f>
        <v>112</v>
      </c>
      <c r="K114" t="str">
        <f t="shared" si="1"/>
        <v>0–0.5</v>
      </c>
    </row>
    <row r="115" spans="1:11" x14ac:dyDescent="0.35">
      <c r="A115" t="s">
        <v>751</v>
      </c>
      <c r="B115" t="s">
        <v>752</v>
      </c>
      <c r="C115">
        <v>0.32119999999999999</v>
      </c>
      <c r="D115">
        <v>5.0000000000000001E-4</v>
      </c>
      <c r="E115">
        <v>20765268</v>
      </c>
      <c r="F115">
        <v>12916</v>
      </c>
      <c r="G115" t="s">
        <v>756</v>
      </c>
      <c r="H115">
        <v>64629999.999999993</v>
      </c>
      <c r="I115">
        <f>Table_Cleaned_Data[[#This Row],[Volume (24h) USD]]/Table_Cleaned_Data[[#This Row],[Circulating_Supply($)]]</f>
        <v>1.9984527309299088E-4</v>
      </c>
      <c r="J115">
        <f>RANK(Table_Cleaned_Data[[#This Row],[Market Cap]],Table_Cleaned_Data[Market Cap],0)</f>
        <v>113</v>
      </c>
      <c r="K115" t="str">
        <f t="shared" si="1"/>
        <v>0–0.5</v>
      </c>
    </row>
    <row r="116" spans="1:11" x14ac:dyDescent="0.35">
      <c r="A116" t="s">
        <v>757</v>
      </c>
      <c r="B116" t="s">
        <v>758</v>
      </c>
      <c r="C116">
        <v>5.9700000000000003E-2</v>
      </c>
      <c r="D116">
        <v>1.0500000000000001E-2</v>
      </c>
      <c r="E116">
        <v>20742584</v>
      </c>
      <c r="F116">
        <v>2668050</v>
      </c>
      <c r="G116" t="s">
        <v>763</v>
      </c>
      <c r="H116">
        <v>347180000</v>
      </c>
      <c r="I116">
        <f>Table_Cleaned_Data[[#This Row],[Volume (24h) USD]]/Table_Cleaned_Data[[#This Row],[Circulating_Supply($)]]</f>
        <v>7.6849184860879084E-3</v>
      </c>
      <c r="J116">
        <f>RANK(Table_Cleaned_Data[[#This Row],[Market Cap]],Table_Cleaned_Data[Market Cap],0)</f>
        <v>114</v>
      </c>
      <c r="K116" t="str">
        <f t="shared" si="1"/>
        <v>0–0.5</v>
      </c>
    </row>
    <row r="117" spans="1:11" x14ac:dyDescent="0.35">
      <c r="A117" t="s">
        <v>764</v>
      </c>
      <c r="B117" t="s">
        <v>765</v>
      </c>
      <c r="C117">
        <v>0.09</v>
      </c>
      <c r="D117">
        <v>5.9999999999999995E-4</v>
      </c>
      <c r="E117">
        <v>20691287</v>
      </c>
      <c r="F117">
        <v>208497</v>
      </c>
      <c r="G117" t="s">
        <v>769</v>
      </c>
      <c r="H117">
        <v>229910000</v>
      </c>
      <c r="I117">
        <f>Table_Cleaned_Data[[#This Row],[Volume (24h) USD]]/Table_Cleaned_Data[[#This Row],[Circulating_Supply($)]]</f>
        <v>9.0686355530424946E-4</v>
      </c>
      <c r="J117">
        <f>RANK(Table_Cleaned_Data[[#This Row],[Market Cap]],Table_Cleaned_Data[Market Cap],0)</f>
        <v>115</v>
      </c>
      <c r="K117" t="str">
        <f t="shared" si="1"/>
        <v>0–0.5</v>
      </c>
    </row>
    <row r="118" spans="1:11" x14ac:dyDescent="0.35">
      <c r="A118" t="s">
        <v>770</v>
      </c>
      <c r="B118" t="s">
        <v>771</v>
      </c>
      <c r="C118">
        <v>2.3400000000000001E-2</v>
      </c>
      <c r="D118">
        <v>1.04E-2</v>
      </c>
      <c r="E118">
        <v>20664141</v>
      </c>
      <c r="F118">
        <v>3496040</v>
      </c>
      <c r="G118" t="s">
        <v>776</v>
      </c>
      <c r="H118">
        <v>884420000</v>
      </c>
      <c r="I118">
        <f>Table_Cleaned_Data[[#This Row],[Volume (24h) USD]]/Table_Cleaned_Data[[#This Row],[Circulating_Supply($)]]</f>
        <v>3.9529182967368449E-3</v>
      </c>
      <c r="J118">
        <f>RANK(Table_Cleaned_Data[[#This Row],[Market Cap]],Table_Cleaned_Data[Market Cap],0)</f>
        <v>116</v>
      </c>
      <c r="K118" t="str">
        <f t="shared" si="1"/>
        <v>0–0.5</v>
      </c>
    </row>
    <row r="119" spans="1:11" x14ac:dyDescent="0.35">
      <c r="A119" t="s">
        <v>777</v>
      </c>
      <c r="B119" t="s">
        <v>778</v>
      </c>
      <c r="C119">
        <v>1.12E-2</v>
      </c>
      <c r="D119">
        <v>3.9699999999999999E-2</v>
      </c>
      <c r="E119">
        <v>20653599</v>
      </c>
      <c r="F119">
        <v>4005780</v>
      </c>
      <c r="G119" t="s">
        <v>783</v>
      </c>
      <c r="H119">
        <v>1840000000</v>
      </c>
      <c r="I119">
        <f>Table_Cleaned_Data[[#This Row],[Volume (24h) USD]]/Table_Cleaned_Data[[#This Row],[Circulating_Supply($)]]</f>
        <v>2.1770543478260868E-3</v>
      </c>
      <c r="J119">
        <f>RANK(Table_Cleaned_Data[[#This Row],[Market Cap]],Table_Cleaned_Data[Market Cap],0)</f>
        <v>117</v>
      </c>
      <c r="K119" t="str">
        <f t="shared" si="1"/>
        <v>0–0.5</v>
      </c>
    </row>
    <row r="120" spans="1:11" x14ac:dyDescent="0.35">
      <c r="A120" t="s">
        <v>784</v>
      </c>
      <c r="B120" t="s">
        <v>785</v>
      </c>
      <c r="C120">
        <v>0.12540000000000001</v>
      </c>
      <c r="D120">
        <v>2.5999999999999999E-3</v>
      </c>
      <c r="E120">
        <v>20601570</v>
      </c>
      <c r="F120">
        <v>145854360</v>
      </c>
      <c r="G120" t="s">
        <v>790</v>
      </c>
      <c r="H120">
        <v>164160000</v>
      </c>
      <c r="I120">
        <f>Table_Cleaned_Data[[#This Row],[Volume (24h) USD]]/Table_Cleaned_Data[[#This Row],[Circulating_Supply($)]]</f>
        <v>0.88848903508771926</v>
      </c>
      <c r="J120">
        <f>RANK(Table_Cleaned_Data[[#This Row],[Market Cap]],Table_Cleaned_Data[Market Cap],0)</f>
        <v>118</v>
      </c>
      <c r="K120" t="str">
        <f t="shared" si="1"/>
        <v>0–0.5</v>
      </c>
    </row>
    <row r="121" spans="1:11" x14ac:dyDescent="0.35">
      <c r="A121" t="s">
        <v>791</v>
      </c>
      <c r="B121" t="s">
        <v>792</v>
      </c>
      <c r="C121">
        <v>7.0000000000000001E-3</v>
      </c>
      <c r="D121">
        <v>1.1000000000000001E-3</v>
      </c>
      <c r="E121">
        <v>16424993</v>
      </c>
      <c r="F121">
        <v>1358758</v>
      </c>
      <c r="G121" t="s">
        <v>796</v>
      </c>
      <c r="H121">
        <v>2360000000</v>
      </c>
      <c r="I121">
        <f>Table_Cleaned_Data[[#This Row],[Volume (24h) USD]]/Table_Cleaned_Data[[#This Row],[Circulating_Supply($)]]</f>
        <v>5.757449152542373E-4</v>
      </c>
      <c r="J121">
        <f>RANK(Table_Cleaned_Data[[#This Row],[Market Cap]],Table_Cleaned_Data[Market Cap],0)</f>
        <v>119</v>
      </c>
      <c r="K121" t="str">
        <f t="shared" si="1"/>
        <v>0–0.5</v>
      </c>
    </row>
    <row r="122" spans="1:11" x14ac:dyDescent="0.35">
      <c r="A122" t="s">
        <v>797</v>
      </c>
      <c r="B122" t="s">
        <v>798</v>
      </c>
      <c r="C122">
        <v>86.24</v>
      </c>
      <c r="D122">
        <v>4.0000000000000002E-4</v>
      </c>
      <c r="E122">
        <v>16385663</v>
      </c>
      <c r="F122">
        <v>320378</v>
      </c>
      <c r="G122" t="s">
        <v>802</v>
      </c>
      <c r="H122">
        <v>189970</v>
      </c>
      <c r="I122">
        <f>Table_Cleaned_Data[[#This Row],[Volume (24h) USD]]/Table_Cleaned_Data[[#This Row],[Circulating_Supply($)]]</f>
        <v>1.686466284150129</v>
      </c>
      <c r="J122">
        <f>RANK(Table_Cleaned_Data[[#This Row],[Market Cap]],Table_Cleaned_Data[Market Cap],0)</f>
        <v>120</v>
      </c>
      <c r="K122" t="str">
        <f t="shared" si="1"/>
        <v>10–100</v>
      </c>
    </row>
    <row r="123" spans="1:11" x14ac:dyDescent="0.35">
      <c r="A123" t="s">
        <v>803</v>
      </c>
      <c r="B123" t="s">
        <v>804</v>
      </c>
      <c r="C123">
        <v>1.4E-3</v>
      </c>
      <c r="D123">
        <v>3.5000000000000001E-3</v>
      </c>
      <c r="E123">
        <v>16331453</v>
      </c>
      <c r="F123">
        <v>3739115</v>
      </c>
      <c r="G123" t="s">
        <v>808</v>
      </c>
      <c r="H123">
        <v>11560000000</v>
      </c>
      <c r="I123">
        <f>Table_Cleaned_Data[[#This Row],[Volume (24h) USD]]/Table_Cleaned_Data[[#This Row],[Circulating_Supply($)]]</f>
        <v>3.2345285467128026E-4</v>
      </c>
      <c r="J123">
        <f>RANK(Table_Cleaned_Data[[#This Row],[Market Cap]],Table_Cleaned_Data[Market Cap],0)</f>
        <v>121</v>
      </c>
      <c r="K123" t="str">
        <f t="shared" si="1"/>
        <v>0–0.5</v>
      </c>
    </row>
    <row r="124" spans="1:11" x14ac:dyDescent="0.35">
      <c r="A124" t="s">
        <v>809</v>
      </c>
      <c r="B124" t="s">
        <v>810</v>
      </c>
      <c r="C124">
        <v>0.2422</v>
      </c>
      <c r="D124">
        <v>8.0000000000000004E-4</v>
      </c>
      <c r="E124">
        <v>16227020</v>
      </c>
      <c r="F124">
        <v>1281</v>
      </c>
      <c r="G124" t="s">
        <v>815</v>
      </c>
      <c r="H124">
        <v>66980000.000000007</v>
      </c>
      <c r="I124">
        <f>Table_Cleaned_Data[[#This Row],[Volume (24h) USD]]/Table_Cleaned_Data[[#This Row],[Circulating_Supply($)]]</f>
        <v>1.9125111973723497E-5</v>
      </c>
      <c r="J124">
        <f>RANK(Table_Cleaned_Data[[#This Row],[Market Cap]],Table_Cleaned_Data[Market Cap],0)</f>
        <v>122</v>
      </c>
      <c r="K124" t="str">
        <f t="shared" si="1"/>
        <v>0–0.5</v>
      </c>
    </row>
    <row r="125" spans="1:11" x14ac:dyDescent="0.35">
      <c r="A125" t="s">
        <v>816</v>
      </c>
      <c r="B125" t="s">
        <v>817</v>
      </c>
      <c r="C125">
        <v>2.92E-2</v>
      </c>
      <c r="D125">
        <v>9.7999999999999997E-3</v>
      </c>
      <c r="E125">
        <v>16215310</v>
      </c>
      <c r="F125">
        <v>2062193</v>
      </c>
      <c r="G125" t="s">
        <v>822</v>
      </c>
      <c r="H125">
        <v>555540000</v>
      </c>
      <c r="I125">
        <f>Table_Cleaned_Data[[#This Row],[Volume (24h) USD]]/Table_Cleaned_Data[[#This Row],[Circulating_Supply($)]]</f>
        <v>3.7120513374374483E-3</v>
      </c>
      <c r="J125">
        <f>RANK(Table_Cleaned_Data[[#This Row],[Market Cap]],Table_Cleaned_Data[Market Cap],0)</f>
        <v>123</v>
      </c>
      <c r="K125" t="str">
        <f t="shared" si="1"/>
        <v>0–0.5</v>
      </c>
    </row>
    <row r="126" spans="1:11" x14ac:dyDescent="0.35">
      <c r="A126" t="s">
        <v>823</v>
      </c>
      <c r="B126" t="s">
        <v>824</v>
      </c>
      <c r="C126">
        <v>7.4999999999999997E-3</v>
      </c>
      <c r="D126">
        <v>1.0500000000000001E-2</v>
      </c>
      <c r="E126">
        <v>16198555</v>
      </c>
      <c r="F126">
        <v>1758366</v>
      </c>
      <c r="G126" t="s">
        <v>828</v>
      </c>
      <c r="H126">
        <v>2150000000</v>
      </c>
      <c r="I126">
        <f>Table_Cleaned_Data[[#This Row],[Volume (24h) USD]]/Table_Cleaned_Data[[#This Row],[Circulating_Supply($)]]</f>
        <v>8.1784465116279065E-4</v>
      </c>
      <c r="J126">
        <f>RANK(Table_Cleaned_Data[[#This Row],[Market Cap]],Table_Cleaned_Data[Market Cap],0)</f>
        <v>124</v>
      </c>
      <c r="K126" t="str">
        <f t="shared" si="1"/>
        <v>0–0.5</v>
      </c>
    </row>
    <row r="127" spans="1:11" x14ac:dyDescent="0.35">
      <c r="A127" t="s">
        <v>829</v>
      </c>
      <c r="B127" t="s">
        <v>830</v>
      </c>
      <c r="C127">
        <v>0.1037</v>
      </c>
      <c r="D127">
        <v>5.3E-3</v>
      </c>
      <c r="E127">
        <v>16192876</v>
      </c>
      <c r="F127">
        <v>12492258</v>
      </c>
      <c r="G127" t="s">
        <v>835</v>
      </c>
      <c r="H127">
        <v>156120000</v>
      </c>
      <c r="I127">
        <f>Table_Cleaned_Data[[#This Row],[Volume (24h) USD]]/Table_Cleaned_Data[[#This Row],[Circulating_Supply($)]]</f>
        <v>8.0017025365103772E-2</v>
      </c>
      <c r="J127">
        <f>RANK(Table_Cleaned_Data[[#This Row],[Market Cap]],Table_Cleaned_Data[Market Cap],0)</f>
        <v>125</v>
      </c>
      <c r="K127" t="str">
        <f t="shared" si="1"/>
        <v>0–0.5</v>
      </c>
    </row>
    <row r="128" spans="1:11" x14ac:dyDescent="0.35">
      <c r="A128" t="s">
        <v>836</v>
      </c>
      <c r="B128" t="s">
        <v>837</v>
      </c>
      <c r="C128">
        <v>3.85E-2</v>
      </c>
      <c r="D128">
        <v>7.9000000000000008E-3</v>
      </c>
      <c r="E128">
        <v>16064356</v>
      </c>
      <c r="F128">
        <v>3422837</v>
      </c>
      <c r="G128" t="s">
        <v>842</v>
      </c>
      <c r="H128">
        <v>416830000</v>
      </c>
      <c r="I128">
        <f>Table_Cleaned_Data[[#This Row],[Volume (24h) USD]]/Table_Cleaned_Data[[#This Row],[Circulating_Supply($)]]</f>
        <v>8.2115898567761431E-3</v>
      </c>
      <c r="J128">
        <f>RANK(Table_Cleaned_Data[[#This Row],[Market Cap]],Table_Cleaned_Data[Market Cap],0)</f>
        <v>126</v>
      </c>
      <c r="K128" t="str">
        <f t="shared" si="1"/>
        <v>0–0.5</v>
      </c>
    </row>
    <row r="129" spans="1:11" x14ac:dyDescent="0.35">
      <c r="A129" t="s">
        <v>843</v>
      </c>
      <c r="B129" t="s">
        <v>844</v>
      </c>
      <c r="C129">
        <v>1.99</v>
      </c>
      <c r="D129">
        <v>9.5899999999999999E-2</v>
      </c>
      <c r="E129">
        <v>15954600</v>
      </c>
      <c r="F129">
        <v>70480379</v>
      </c>
      <c r="G129" t="s">
        <v>849</v>
      </c>
      <c r="H129">
        <v>8010000</v>
      </c>
      <c r="I129">
        <f>Table_Cleaned_Data[[#This Row],[Volume (24h) USD]]/Table_Cleaned_Data[[#This Row],[Circulating_Supply($)]]</f>
        <v>8.7990485642946314</v>
      </c>
      <c r="J129">
        <f>RANK(Table_Cleaned_Data[[#This Row],[Market Cap]],Table_Cleaned_Data[Market Cap],0)</f>
        <v>127</v>
      </c>
      <c r="K129" t="str">
        <f t="shared" si="1"/>
        <v>1–2</v>
      </c>
    </row>
    <row r="130" spans="1:11" x14ac:dyDescent="0.35">
      <c r="A130" t="s">
        <v>850</v>
      </c>
      <c r="B130" t="s">
        <v>851</v>
      </c>
      <c r="C130">
        <v>1.83E-2</v>
      </c>
      <c r="D130">
        <v>6.8999999999999999E-3</v>
      </c>
      <c r="E130">
        <v>15950372</v>
      </c>
      <c r="F130">
        <v>59278</v>
      </c>
      <c r="G130" t="s">
        <v>855</v>
      </c>
      <c r="H130">
        <v>869700000</v>
      </c>
      <c r="I130">
        <f>Table_Cleaned_Data[[#This Row],[Volume (24h) USD]]/Table_Cleaned_Data[[#This Row],[Circulating_Supply($)]]</f>
        <v>6.8159135334023226E-5</v>
      </c>
      <c r="J130">
        <f>RANK(Table_Cleaned_Data[[#This Row],[Market Cap]],Table_Cleaned_Data[Market Cap],0)</f>
        <v>128</v>
      </c>
      <c r="K130" t="str">
        <f t="shared" ref="K130:K193" si="2">IF(C130&lt;=0.5,"0–0.5",
IF(C130&lt;=1,"0.5–1",
IF(C130&lt;=2,"1–2",
IF(C130&lt;=10,"2–10",
IF(C130&lt;=100,"10–100",
IF(C130&lt;=1000,"100–1000",
IF(C130&lt;=10000,"1000–10000",
"10000+")))))))</f>
        <v>0–0.5</v>
      </c>
    </row>
    <row r="131" spans="1:11" x14ac:dyDescent="0.35">
      <c r="A131" t="s">
        <v>856</v>
      </c>
      <c r="B131" t="s">
        <v>857</v>
      </c>
      <c r="C131">
        <v>2.52E-2</v>
      </c>
      <c r="D131">
        <v>7.9000000000000008E-3</v>
      </c>
      <c r="E131">
        <v>15923641</v>
      </c>
      <c r="F131">
        <v>1014645</v>
      </c>
      <c r="G131" t="s">
        <v>861</v>
      </c>
      <c r="H131">
        <v>630890000</v>
      </c>
      <c r="I131">
        <f>Table_Cleaned_Data[[#This Row],[Volume (24h) USD]]/Table_Cleaned_Data[[#This Row],[Circulating_Supply($)]]</f>
        <v>1.6082756106452789E-3</v>
      </c>
      <c r="J131">
        <f>RANK(Table_Cleaned_Data[[#This Row],[Market Cap]],Table_Cleaned_Data[Market Cap],0)</f>
        <v>129</v>
      </c>
      <c r="K131" t="str">
        <f t="shared" si="2"/>
        <v>0–0.5</v>
      </c>
    </row>
    <row r="132" spans="1:11" x14ac:dyDescent="0.35">
      <c r="A132" t="s">
        <v>862</v>
      </c>
      <c r="B132" t="s">
        <v>863</v>
      </c>
      <c r="C132">
        <v>0.2051</v>
      </c>
      <c r="D132">
        <v>4.4000000000000003E-3</v>
      </c>
      <c r="E132">
        <v>15920691</v>
      </c>
      <c r="F132">
        <v>2920453</v>
      </c>
      <c r="G132" t="s">
        <v>867</v>
      </c>
      <c r="H132">
        <v>77590000</v>
      </c>
      <c r="I132">
        <f>Table_Cleaned_Data[[#This Row],[Volume (24h) USD]]/Table_Cleaned_Data[[#This Row],[Circulating_Supply($)]]</f>
        <v>3.7639554066245653E-2</v>
      </c>
      <c r="J132">
        <f>RANK(Table_Cleaned_Data[[#This Row],[Market Cap]],Table_Cleaned_Data[Market Cap],0)</f>
        <v>130</v>
      </c>
      <c r="K132" t="str">
        <f t="shared" si="2"/>
        <v>0–0.5</v>
      </c>
    </row>
    <row r="133" spans="1:11" x14ac:dyDescent="0.35">
      <c r="A133" t="s">
        <v>868</v>
      </c>
      <c r="B133" t="s">
        <v>869</v>
      </c>
      <c r="C133">
        <v>6.7000000000000002E-3</v>
      </c>
      <c r="D133">
        <v>4.4000000000000003E-3</v>
      </c>
      <c r="E133">
        <v>15826267</v>
      </c>
      <c r="F133">
        <v>1644731</v>
      </c>
      <c r="G133" t="s">
        <v>873</v>
      </c>
      <c r="H133">
        <v>2340000000</v>
      </c>
      <c r="I133">
        <f>Table_Cleaned_Data[[#This Row],[Volume (24h) USD]]/Table_Cleaned_Data[[#This Row],[Circulating_Supply($)]]</f>
        <v>7.0287649572649573E-4</v>
      </c>
      <c r="J133">
        <f>RANK(Table_Cleaned_Data[[#This Row],[Market Cap]],Table_Cleaned_Data[Market Cap],0)</f>
        <v>131</v>
      </c>
      <c r="K133" t="str">
        <f t="shared" si="2"/>
        <v>0–0.5</v>
      </c>
    </row>
    <row r="134" spans="1:11" x14ac:dyDescent="0.35">
      <c r="A134" t="s">
        <v>874</v>
      </c>
      <c r="B134" t="s">
        <v>875</v>
      </c>
      <c r="C134">
        <v>0.14760000000000001</v>
      </c>
      <c r="D134">
        <v>1.1999999999999999E-3</v>
      </c>
      <c r="E134">
        <v>15812322</v>
      </c>
      <c r="F134">
        <v>306847</v>
      </c>
      <c r="G134" t="s">
        <v>879</v>
      </c>
      <c r="H134">
        <v>107050000</v>
      </c>
      <c r="I134">
        <f>Table_Cleaned_Data[[#This Row],[Volume (24h) USD]]/Table_Cleaned_Data[[#This Row],[Circulating_Supply($)]]</f>
        <v>2.8663895375992529E-3</v>
      </c>
      <c r="J134">
        <f>RANK(Table_Cleaned_Data[[#This Row],[Market Cap]],Table_Cleaned_Data[Market Cap],0)</f>
        <v>132</v>
      </c>
      <c r="K134" t="str">
        <f t="shared" si="2"/>
        <v>0–0.5</v>
      </c>
    </row>
    <row r="135" spans="1:11" x14ac:dyDescent="0.35">
      <c r="A135" t="s">
        <v>880</v>
      </c>
      <c r="B135" t="s">
        <v>880</v>
      </c>
      <c r="C135">
        <v>0</v>
      </c>
      <c r="D135">
        <v>2.3E-3</v>
      </c>
      <c r="E135">
        <v>15724357</v>
      </c>
      <c r="F135">
        <v>1795661</v>
      </c>
      <c r="G135" t="s">
        <v>885</v>
      </c>
      <c r="H135">
        <v>580810000000</v>
      </c>
      <c r="I135">
        <f>Table_Cleaned_Data[[#This Row],[Volume (24h) USD]]/Table_Cleaned_Data[[#This Row],[Circulating_Supply($)]]</f>
        <v>3.091649592810041E-6</v>
      </c>
      <c r="J135">
        <f>RANK(Table_Cleaned_Data[[#This Row],[Market Cap]],Table_Cleaned_Data[Market Cap],0)</f>
        <v>133</v>
      </c>
      <c r="K135" t="str">
        <f t="shared" si="2"/>
        <v>0–0.5</v>
      </c>
    </row>
    <row r="136" spans="1:11" x14ac:dyDescent="0.35">
      <c r="A136" t="s">
        <v>886</v>
      </c>
      <c r="B136" t="s">
        <v>887</v>
      </c>
      <c r="C136">
        <v>6.1899999999999997E-2</v>
      </c>
      <c r="D136">
        <v>2.0999999999999999E-3</v>
      </c>
      <c r="E136">
        <v>13134119</v>
      </c>
      <c r="F136">
        <v>1516517</v>
      </c>
      <c r="G136" t="s">
        <v>891</v>
      </c>
      <c r="H136">
        <v>69420000000000</v>
      </c>
      <c r="I136">
        <f>Table_Cleaned_Data[[#This Row],[Volume (24h) USD]]/Table_Cleaned_Data[[#This Row],[Circulating_Supply($)]]</f>
        <v>2.1845534428118698E-8</v>
      </c>
      <c r="J136">
        <f>RANK(Table_Cleaned_Data[[#This Row],[Market Cap]],Table_Cleaned_Data[Market Cap],0)</f>
        <v>134</v>
      </c>
      <c r="K136" t="str">
        <f t="shared" si="2"/>
        <v>0–0.5</v>
      </c>
    </row>
    <row r="137" spans="1:11" x14ac:dyDescent="0.35">
      <c r="A137" t="s">
        <v>892</v>
      </c>
      <c r="B137" t="s">
        <v>893</v>
      </c>
      <c r="C137">
        <v>0.13120000000000001</v>
      </c>
      <c r="D137">
        <v>6.7000000000000002E-3</v>
      </c>
      <c r="E137">
        <v>13123357</v>
      </c>
      <c r="F137">
        <v>145988</v>
      </c>
      <c r="G137" t="s">
        <v>898</v>
      </c>
      <c r="H137">
        <v>100000000</v>
      </c>
      <c r="I137">
        <f>Table_Cleaned_Data[[#This Row],[Volume (24h) USD]]/Table_Cleaned_Data[[#This Row],[Circulating_Supply($)]]</f>
        <v>1.45988E-3</v>
      </c>
      <c r="J137">
        <f>RANK(Table_Cleaned_Data[[#This Row],[Market Cap]],Table_Cleaned_Data[Market Cap],0)</f>
        <v>135</v>
      </c>
      <c r="K137" t="str">
        <f t="shared" si="2"/>
        <v>0–0.5</v>
      </c>
    </row>
    <row r="138" spans="1:11" x14ac:dyDescent="0.35">
      <c r="A138" t="s">
        <v>899</v>
      </c>
      <c r="B138" t="s">
        <v>900</v>
      </c>
      <c r="C138">
        <v>6.9599999999999995E-2</v>
      </c>
      <c r="D138">
        <v>5.0000000000000001E-4</v>
      </c>
      <c r="E138">
        <v>13070849</v>
      </c>
      <c r="F138">
        <v>209476</v>
      </c>
      <c r="G138" t="s">
        <v>904</v>
      </c>
      <c r="H138">
        <v>187760000</v>
      </c>
      <c r="I138">
        <f>Table_Cleaned_Data[[#This Row],[Volume (24h) USD]]/Table_Cleaned_Data[[#This Row],[Circulating_Supply($)]]</f>
        <v>1.1156582871751171E-3</v>
      </c>
      <c r="J138">
        <f>RANK(Table_Cleaned_Data[[#This Row],[Market Cap]],Table_Cleaned_Data[Market Cap],0)</f>
        <v>136</v>
      </c>
      <c r="K138" t="str">
        <f t="shared" si="2"/>
        <v>0–0.5</v>
      </c>
    </row>
    <row r="139" spans="1:11" x14ac:dyDescent="0.35">
      <c r="A139" t="s">
        <v>905</v>
      </c>
      <c r="B139" t="s">
        <v>906</v>
      </c>
      <c r="C139">
        <v>2.2000000000000001E-3</v>
      </c>
      <c r="D139">
        <v>2.0000000000000001E-4</v>
      </c>
      <c r="E139">
        <v>13047966</v>
      </c>
      <c r="F139">
        <v>398978</v>
      </c>
      <c r="G139" t="s">
        <v>910</v>
      </c>
      <c r="H139">
        <v>6000000000</v>
      </c>
      <c r="I139">
        <f>Table_Cleaned_Data[[#This Row],[Volume (24h) USD]]/Table_Cleaned_Data[[#This Row],[Circulating_Supply($)]]</f>
        <v>6.6496333333333329E-5</v>
      </c>
      <c r="J139">
        <f>RANK(Table_Cleaned_Data[[#This Row],[Market Cap]],Table_Cleaned_Data[Market Cap],0)</f>
        <v>137</v>
      </c>
      <c r="K139" t="str">
        <f t="shared" si="2"/>
        <v>0–0.5</v>
      </c>
    </row>
    <row r="140" spans="1:11" x14ac:dyDescent="0.35">
      <c r="A140" t="s">
        <v>911</v>
      </c>
      <c r="B140" t="s">
        <v>911</v>
      </c>
      <c r="C140">
        <v>0.77400000000000002</v>
      </c>
      <c r="D140">
        <v>1E-4</v>
      </c>
      <c r="E140">
        <v>12991779</v>
      </c>
      <c r="F140">
        <v>168599</v>
      </c>
      <c r="G140" t="s">
        <v>915</v>
      </c>
      <c r="H140">
        <v>16780000</v>
      </c>
      <c r="I140">
        <f>Table_Cleaned_Data[[#This Row],[Volume (24h) USD]]/Table_Cleaned_Data[[#This Row],[Circulating_Supply($)]]</f>
        <v>1.0047616209773539E-2</v>
      </c>
      <c r="J140">
        <f>RANK(Table_Cleaned_Data[[#This Row],[Market Cap]],Table_Cleaned_Data[Market Cap],0)</f>
        <v>138</v>
      </c>
      <c r="K140" t="str">
        <f t="shared" si="2"/>
        <v>0.5–1</v>
      </c>
    </row>
    <row r="141" spans="1:11" x14ac:dyDescent="0.35">
      <c r="A141" t="s">
        <v>916</v>
      </c>
      <c r="B141" t="s">
        <v>917</v>
      </c>
      <c r="C141">
        <v>0.29049999999999998</v>
      </c>
      <c r="D141">
        <v>2.0000000000000001E-4</v>
      </c>
      <c r="E141">
        <v>12990382</v>
      </c>
      <c r="F141">
        <v>10235</v>
      </c>
      <c r="G141" t="s">
        <v>921</v>
      </c>
      <c r="H141">
        <v>44700000</v>
      </c>
      <c r="I141">
        <f>Table_Cleaned_Data[[#This Row],[Volume (24h) USD]]/Table_Cleaned_Data[[#This Row],[Circulating_Supply($)]]</f>
        <v>2.2897091722595079E-4</v>
      </c>
      <c r="J141">
        <f>RANK(Table_Cleaned_Data[[#This Row],[Market Cap]],Table_Cleaned_Data[Market Cap],0)</f>
        <v>139</v>
      </c>
      <c r="K141" t="str">
        <f t="shared" si="2"/>
        <v>0–0.5</v>
      </c>
    </row>
    <row r="142" spans="1:11" x14ac:dyDescent="0.35">
      <c r="A142" t="s">
        <v>922</v>
      </c>
      <c r="B142" t="s">
        <v>923</v>
      </c>
      <c r="C142">
        <v>8.0100000000000005E-2</v>
      </c>
      <c r="D142">
        <v>1.7600000000000001E-2</v>
      </c>
      <c r="E142">
        <v>12956897</v>
      </c>
      <c r="F142">
        <v>12775882</v>
      </c>
      <c r="G142" t="s">
        <v>928</v>
      </c>
      <c r="H142">
        <v>161680000</v>
      </c>
      <c r="I142">
        <f>Table_Cleaned_Data[[#This Row],[Volume (24h) USD]]/Table_Cleaned_Data[[#This Row],[Circulating_Supply($)]]</f>
        <v>7.9019557149925784E-2</v>
      </c>
      <c r="J142">
        <f>RANK(Table_Cleaned_Data[[#This Row],[Market Cap]],Table_Cleaned_Data[Market Cap],0)</f>
        <v>140</v>
      </c>
      <c r="K142" t="str">
        <f t="shared" si="2"/>
        <v>0–0.5</v>
      </c>
    </row>
    <row r="143" spans="1:11" x14ac:dyDescent="0.35">
      <c r="A143" t="s">
        <v>929</v>
      </c>
      <c r="B143" t="s">
        <v>930</v>
      </c>
      <c r="C143">
        <v>1.15E-2</v>
      </c>
      <c r="D143">
        <v>6.9999999999999999E-4</v>
      </c>
      <c r="E143">
        <v>12915133</v>
      </c>
      <c r="F143">
        <v>14942</v>
      </c>
      <c r="G143" t="s">
        <v>935</v>
      </c>
      <c r="H143">
        <v>1120000000</v>
      </c>
      <c r="I143">
        <f>Table_Cleaned_Data[[#This Row],[Volume (24h) USD]]/Table_Cleaned_Data[[#This Row],[Circulating_Supply($)]]</f>
        <v>1.3341071428571428E-5</v>
      </c>
      <c r="J143">
        <f>RANK(Table_Cleaned_Data[[#This Row],[Market Cap]],Table_Cleaned_Data[Market Cap],0)</f>
        <v>141</v>
      </c>
      <c r="K143" t="str">
        <f t="shared" si="2"/>
        <v>0–0.5</v>
      </c>
    </row>
    <row r="144" spans="1:11" x14ac:dyDescent="0.35">
      <c r="A144" t="s">
        <v>936</v>
      </c>
      <c r="B144" t="s">
        <v>936</v>
      </c>
      <c r="C144">
        <v>6.1000000000000004E-3</v>
      </c>
      <c r="D144">
        <v>5.1999999999999998E-3</v>
      </c>
      <c r="E144">
        <v>12833597</v>
      </c>
      <c r="F144">
        <v>72</v>
      </c>
      <c r="G144" t="s">
        <v>940</v>
      </c>
      <c r="H144">
        <v>2089999999.9999998</v>
      </c>
      <c r="I144">
        <f>Table_Cleaned_Data[[#This Row],[Volume (24h) USD]]/Table_Cleaned_Data[[#This Row],[Circulating_Supply($)]]</f>
        <v>3.4449760765550241E-8</v>
      </c>
      <c r="J144">
        <f>RANK(Table_Cleaned_Data[[#This Row],[Market Cap]],Table_Cleaned_Data[Market Cap],0)</f>
        <v>142</v>
      </c>
      <c r="K144" t="str">
        <f t="shared" si="2"/>
        <v>0–0.5</v>
      </c>
    </row>
    <row r="145" spans="1:11" x14ac:dyDescent="0.35">
      <c r="A145" t="s">
        <v>941</v>
      </c>
      <c r="B145" t="s">
        <v>942</v>
      </c>
      <c r="C145">
        <v>2E-3</v>
      </c>
      <c r="D145">
        <v>7.7999999999999996E-3</v>
      </c>
      <c r="E145">
        <v>12792501</v>
      </c>
      <c r="F145">
        <v>3233342</v>
      </c>
      <c r="G145" t="s">
        <v>946</v>
      </c>
      <c r="H145">
        <v>6240000000</v>
      </c>
      <c r="I145">
        <f>Table_Cleaned_Data[[#This Row],[Volume (24h) USD]]/Table_Cleaned_Data[[#This Row],[Circulating_Supply($)]]</f>
        <v>5.18163782051282E-4</v>
      </c>
      <c r="J145">
        <f>RANK(Table_Cleaned_Data[[#This Row],[Market Cap]],Table_Cleaned_Data[Market Cap],0)</f>
        <v>143</v>
      </c>
      <c r="K145" t="str">
        <f t="shared" si="2"/>
        <v>0–0.5</v>
      </c>
    </row>
    <row r="146" spans="1:11" x14ac:dyDescent="0.35">
      <c r="A146" t="s">
        <v>947</v>
      </c>
      <c r="B146" t="s">
        <v>948</v>
      </c>
      <c r="C146">
        <v>307.41000000000003</v>
      </c>
      <c r="D146">
        <v>2.9999999999999997E-4</v>
      </c>
      <c r="E146">
        <v>12758781</v>
      </c>
      <c r="F146">
        <v>294571</v>
      </c>
      <c r="G146" t="s">
        <v>952</v>
      </c>
      <c r="H146">
        <v>41500</v>
      </c>
      <c r="I146">
        <f>Table_Cleaned_Data[[#This Row],[Volume (24h) USD]]/Table_Cleaned_Data[[#This Row],[Circulating_Supply($)]]</f>
        <v>7.0980963855421688</v>
      </c>
      <c r="J146">
        <f>RANK(Table_Cleaned_Data[[#This Row],[Market Cap]],Table_Cleaned_Data[Market Cap],0)</f>
        <v>144</v>
      </c>
      <c r="K146" t="str">
        <f t="shared" si="2"/>
        <v>100–1000</v>
      </c>
    </row>
    <row r="147" spans="1:11" x14ac:dyDescent="0.35">
      <c r="A147" t="s">
        <v>953</v>
      </c>
      <c r="B147" t="s">
        <v>954</v>
      </c>
      <c r="C147">
        <v>4.9599999999999998E-2</v>
      </c>
      <c r="D147">
        <v>1.7899999999999999E-2</v>
      </c>
      <c r="E147">
        <v>12748368</v>
      </c>
      <c r="F147">
        <v>2579371</v>
      </c>
      <c r="G147" t="s">
        <v>959</v>
      </c>
      <c r="H147">
        <v>256769999.99999997</v>
      </c>
      <c r="I147">
        <f>Table_Cleaned_Data[[#This Row],[Volume (24h) USD]]/Table_Cleaned_Data[[#This Row],[Circulating_Supply($)]]</f>
        <v>1.0045453129259649E-2</v>
      </c>
      <c r="J147">
        <f>RANK(Table_Cleaned_Data[[#This Row],[Market Cap]],Table_Cleaned_Data[Market Cap],0)</f>
        <v>145</v>
      </c>
      <c r="K147" t="str">
        <f t="shared" si="2"/>
        <v>0–0.5</v>
      </c>
    </row>
    <row r="148" spans="1:11" x14ac:dyDescent="0.35">
      <c r="A148" t="s">
        <v>970</v>
      </c>
      <c r="B148" t="s">
        <v>971</v>
      </c>
      <c r="C148">
        <v>0.41920000000000002</v>
      </c>
      <c r="D148">
        <v>5.0000000000000001E-4</v>
      </c>
      <c r="E148">
        <v>12520555</v>
      </c>
      <c r="F148">
        <v>11382</v>
      </c>
      <c r="G148" t="s">
        <v>975</v>
      </c>
      <c r="H148">
        <v>29860000</v>
      </c>
      <c r="I148">
        <f>Table_Cleaned_Data[[#This Row],[Volume (24h) USD]]/Table_Cleaned_Data[[#This Row],[Circulating_Supply($)]]</f>
        <v>3.8117883456128599E-4</v>
      </c>
      <c r="J148">
        <f>RANK(Table_Cleaned_Data[[#This Row],[Market Cap]],Table_Cleaned_Data[Market Cap],0)</f>
        <v>146</v>
      </c>
      <c r="K148" t="str">
        <f t="shared" si="2"/>
        <v>0–0.5</v>
      </c>
    </row>
    <row r="149" spans="1:11" x14ac:dyDescent="0.35">
      <c r="A149" t="s">
        <v>976</v>
      </c>
      <c r="B149" t="s">
        <v>977</v>
      </c>
      <c r="C149">
        <v>1.03E-2</v>
      </c>
      <c r="D149">
        <v>6.8000000000000005E-2</v>
      </c>
      <c r="E149">
        <v>10263393</v>
      </c>
      <c r="F149">
        <v>3725662</v>
      </c>
      <c r="G149" t="s">
        <v>982</v>
      </c>
      <c r="H149">
        <v>999920000</v>
      </c>
      <c r="I149">
        <f>Table_Cleaned_Data[[#This Row],[Volume (24h) USD]]/Table_Cleaned_Data[[#This Row],[Circulating_Supply($)]]</f>
        <v>3.7259600768061443E-3</v>
      </c>
      <c r="J149">
        <f>RANK(Table_Cleaned_Data[[#This Row],[Market Cap]],Table_Cleaned_Data[Market Cap],0)</f>
        <v>147</v>
      </c>
      <c r="K149" t="str">
        <f t="shared" si="2"/>
        <v>0–0.5</v>
      </c>
    </row>
    <row r="150" spans="1:11" x14ac:dyDescent="0.35">
      <c r="A150" t="s">
        <v>983</v>
      </c>
      <c r="B150" t="s">
        <v>984</v>
      </c>
      <c r="C150">
        <v>0.121</v>
      </c>
      <c r="D150">
        <v>1E-3</v>
      </c>
      <c r="E150">
        <v>10218253</v>
      </c>
      <c r="F150">
        <v>24050</v>
      </c>
      <c r="G150" t="s">
        <v>988</v>
      </c>
      <c r="H150">
        <v>84370000</v>
      </c>
      <c r="I150">
        <f>Table_Cleaned_Data[[#This Row],[Volume (24h) USD]]/Table_Cleaned_Data[[#This Row],[Circulating_Supply($)]]</f>
        <v>2.8505392912172575E-4</v>
      </c>
      <c r="J150">
        <f>RANK(Table_Cleaned_Data[[#This Row],[Market Cap]],Table_Cleaned_Data[Market Cap],0)</f>
        <v>148</v>
      </c>
      <c r="K150" t="str">
        <f t="shared" si="2"/>
        <v>0–0.5</v>
      </c>
    </row>
    <row r="151" spans="1:11" x14ac:dyDescent="0.35">
      <c r="A151" t="s">
        <v>989</v>
      </c>
      <c r="B151" t="s">
        <v>990</v>
      </c>
      <c r="C151">
        <v>2.62</v>
      </c>
      <c r="D151">
        <v>7.0000000000000001E-3</v>
      </c>
      <c r="E151">
        <v>10209935</v>
      </c>
      <c r="F151">
        <v>58863</v>
      </c>
      <c r="G151" t="s">
        <v>995</v>
      </c>
      <c r="H151">
        <v>3880000</v>
      </c>
      <c r="I151">
        <f>Table_Cleaned_Data[[#This Row],[Volume (24h) USD]]/Table_Cleaned_Data[[#This Row],[Circulating_Supply($)]]</f>
        <v>1.5170876288659794E-2</v>
      </c>
      <c r="J151">
        <f>RANK(Table_Cleaned_Data[[#This Row],[Market Cap]],Table_Cleaned_Data[Market Cap],0)</f>
        <v>149</v>
      </c>
      <c r="K151" t="str">
        <f t="shared" si="2"/>
        <v>2–10</v>
      </c>
    </row>
    <row r="152" spans="1:11" x14ac:dyDescent="0.35">
      <c r="A152" t="s">
        <v>996</v>
      </c>
      <c r="B152" t="s">
        <v>997</v>
      </c>
      <c r="C152">
        <v>2.75E-2</v>
      </c>
      <c r="D152">
        <v>6.9999999999999999E-4</v>
      </c>
      <c r="E152">
        <v>10181572</v>
      </c>
      <c r="F152">
        <v>2890350</v>
      </c>
      <c r="G152" t="s">
        <v>1001</v>
      </c>
      <c r="H152">
        <v>370450000</v>
      </c>
      <c r="I152">
        <f>Table_Cleaned_Data[[#This Row],[Volume (24h) USD]]/Table_Cleaned_Data[[#This Row],[Circulating_Supply($)]]</f>
        <v>7.8022675124848158E-3</v>
      </c>
      <c r="J152">
        <f>RANK(Table_Cleaned_Data[[#This Row],[Market Cap]],Table_Cleaned_Data[Market Cap],0)</f>
        <v>150</v>
      </c>
      <c r="K152" t="str">
        <f t="shared" si="2"/>
        <v>0–0.5</v>
      </c>
    </row>
    <row r="153" spans="1:11" x14ac:dyDescent="0.35">
      <c r="A153" t="s">
        <v>1002</v>
      </c>
      <c r="B153" t="s">
        <v>1003</v>
      </c>
      <c r="C153">
        <v>0.1197</v>
      </c>
      <c r="D153">
        <v>4.3E-3</v>
      </c>
      <c r="E153">
        <v>10177709</v>
      </c>
      <c r="F153">
        <v>1745887</v>
      </c>
      <c r="G153" t="s">
        <v>1007</v>
      </c>
      <c r="H153">
        <v>84980000</v>
      </c>
      <c r="I153">
        <f>Table_Cleaned_Data[[#This Row],[Volume (24h) USD]]/Table_Cleaned_Data[[#This Row],[Circulating_Supply($)]]</f>
        <v>2.0544681101435633E-2</v>
      </c>
      <c r="J153">
        <f>RANK(Table_Cleaned_Data[[#This Row],[Market Cap]],Table_Cleaned_Data[Market Cap],0)</f>
        <v>151</v>
      </c>
      <c r="K153" t="str">
        <f t="shared" si="2"/>
        <v>0–0.5</v>
      </c>
    </row>
    <row r="154" spans="1:11" x14ac:dyDescent="0.35">
      <c r="A154" t="s">
        <v>1008</v>
      </c>
      <c r="B154" t="s">
        <v>1009</v>
      </c>
      <c r="C154">
        <v>3.5900000000000001E-2</v>
      </c>
      <c r="D154">
        <v>1.1000000000000001E-3</v>
      </c>
      <c r="E154">
        <v>10176763</v>
      </c>
      <c r="F154">
        <v>1968426</v>
      </c>
      <c r="G154" t="s">
        <v>1013</v>
      </c>
      <c r="H154">
        <v>283420000</v>
      </c>
      <c r="I154">
        <f>Table_Cleaned_Data[[#This Row],[Volume (24h) USD]]/Table_Cleaned_Data[[#This Row],[Circulating_Supply($)]]</f>
        <v>6.945261449438995E-3</v>
      </c>
      <c r="J154">
        <f>RANK(Table_Cleaned_Data[[#This Row],[Market Cap]],Table_Cleaned_Data[Market Cap],0)</f>
        <v>152</v>
      </c>
      <c r="K154" t="str">
        <f t="shared" si="2"/>
        <v>0–0.5</v>
      </c>
    </row>
    <row r="155" spans="1:11" x14ac:dyDescent="0.35">
      <c r="A155" t="s">
        <v>1014</v>
      </c>
      <c r="B155" t="s">
        <v>1014</v>
      </c>
      <c r="C155">
        <v>1.4E-3</v>
      </c>
      <c r="D155">
        <v>1.6999999999999999E-3</v>
      </c>
      <c r="E155">
        <v>10154660</v>
      </c>
      <c r="F155">
        <v>1493484</v>
      </c>
      <c r="G155" t="s">
        <v>1017</v>
      </c>
      <c r="H155">
        <v>7190000000</v>
      </c>
      <c r="I155">
        <f>Table_Cleaned_Data[[#This Row],[Volume (24h) USD]]/Table_Cleaned_Data[[#This Row],[Circulating_Supply($)]]</f>
        <v>2.0771682892906814E-4</v>
      </c>
      <c r="J155">
        <f>RANK(Table_Cleaned_Data[[#This Row],[Market Cap]],Table_Cleaned_Data[Market Cap],0)</f>
        <v>153</v>
      </c>
      <c r="K155" t="str">
        <f t="shared" si="2"/>
        <v>0–0.5</v>
      </c>
    </row>
    <row r="156" spans="1:11" x14ac:dyDescent="0.35">
      <c r="A156" t="s">
        <v>1018</v>
      </c>
      <c r="B156" t="s">
        <v>1019</v>
      </c>
      <c r="C156">
        <v>0.1268</v>
      </c>
      <c r="D156">
        <v>1.18E-2</v>
      </c>
      <c r="E156">
        <v>10144538</v>
      </c>
      <c r="F156">
        <v>5375471</v>
      </c>
      <c r="G156" t="s">
        <v>1023</v>
      </c>
      <c r="H156">
        <v>80000000</v>
      </c>
      <c r="I156">
        <f>Table_Cleaned_Data[[#This Row],[Volume (24h) USD]]/Table_Cleaned_Data[[#This Row],[Circulating_Supply($)]]</f>
        <v>6.7193387500000007E-2</v>
      </c>
      <c r="J156">
        <f>RANK(Table_Cleaned_Data[[#This Row],[Market Cap]],Table_Cleaned_Data[Market Cap],0)</f>
        <v>154</v>
      </c>
      <c r="K156" t="str">
        <f t="shared" si="2"/>
        <v>0–0.5</v>
      </c>
    </row>
    <row r="157" spans="1:11" x14ac:dyDescent="0.35">
      <c r="A157" t="s">
        <v>1024</v>
      </c>
      <c r="B157" t="s">
        <v>1024</v>
      </c>
      <c r="C157">
        <v>1.01E-2</v>
      </c>
      <c r="D157">
        <v>5.0000000000000001E-3</v>
      </c>
      <c r="E157">
        <v>10134613</v>
      </c>
      <c r="F157">
        <v>3304619</v>
      </c>
      <c r="G157" t="s">
        <v>1029</v>
      </c>
      <c r="H157">
        <v>999200000</v>
      </c>
      <c r="I157">
        <f>Table_Cleaned_Data[[#This Row],[Volume (24h) USD]]/Table_Cleaned_Data[[#This Row],[Circulating_Supply($)]]</f>
        <v>3.3072648118494794E-3</v>
      </c>
      <c r="J157">
        <f>RANK(Table_Cleaned_Data[[#This Row],[Market Cap]],Table_Cleaned_Data[Market Cap],0)</f>
        <v>155</v>
      </c>
      <c r="K157" t="str">
        <f t="shared" si="2"/>
        <v>0–0.5</v>
      </c>
    </row>
    <row r="158" spans="1:11" x14ac:dyDescent="0.35">
      <c r="A158" t="s">
        <v>1030</v>
      </c>
      <c r="B158" t="s">
        <v>1031</v>
      </c>
      <c r="C158">
        <v>2.2700000000000001E-2</v>
      </c>
      <c r="D158">
        <v>1.4E-3</v>
      </c>
      <c r="E158">
        <v>10134565</v>
      </c>
      <c r="F158">
        <v>1806828</v>
      </c>
      <c r="G158" t="s">
        <v>1035</v>
      </c>
      <c r="H158">
        <v>445870000</v>
      </c>
      <c r="I158">
        <f>Table_Cleaned_Data[[#This Row],[Volume (24h) USD]]/Table_Cleaned_Data[[#This Row],[Circulating_Supply($)]]</f>
        <v>4.0523650391369685E-3</v>
      </c>
      <c r="J158">
        <f>RANK(Table_Cleaned_Data[[#This Row],[Market Cap]],Table_Cleaned_Data[Market Cap],0)</f>
        <v>156</v>
      </c>
      <c r="K158" t="str">
        <f t="shared" si="2"/>
        <v>0–0.5</v>
      </c>
    </row>
    <row r="159" spans="1:11" x14ac:dyDescent="0.35">
      <c r="A159" t="s">
        <v>1036</v>
      </c>
      <c r="B159" t="s">
        <v>1037</v>
      </c>
      <c r="C159">
        <v>1.1900000000000001E-2</v>
      </c>
      <c r="D159">
        <v>8.8000000000000005E-3</v>
      </c>
      <c r="E159">
        <v>10130034</v>
      </c>
      <c r="F159">
        <v>541292</v>
      </c>
      <c r="G159" t="s">
        <v>1042</v>
      </c>
      <c r="H159">
        <v>850960000</v>
      </c>
      <c r="I159">
        <f>Table_Cleaned_Data[[#This Row],[Volume (24h) USD]]/Table_Cleaned_Data[[#This Row],[Circulating_Supply($)]]</f>
        <v>6.3609570367584843E-4</v>
      </c>
      <c r="J159">
        <f>RANK(Table_Cleaned_Data[[#This Row],[Market Cap]],Table_Cleaned_Data[Market Cap],0)</f>
        <v>157</v>
      </c>
      <c r="K159" t="str">
        <f t="shared" si="2"/>
        <v>0–0.5</v>
      </c>
    </row>
    <row r="160" spans="1:11" x14ac:dyDescent="0.35">
      <c r="A160" t="s">
        <v>1043</v>
      </c>
      <c r="B160" t="s">
        <v>1044</v>
      </c>
      <c r="C160">
        <v>0.1114</v>
      </c>
      <c r="D160">
        <v>6.9999999999999999E-4</v>
      </c>
      <c r="E160">
        <v>10120696</v>
      </c>
      <c r="F160">
        <v>7551</v>
      </c>
      <c r="G160" t="s">
        <v>1048</v>
      </c>
      <c r="H160">
        <v>90790000</v>
      </c>
      <c r="I160">
        <f>Table_Cleaned_Data[[#This Row],[Volume (24h) USD]]/Table_Cleaned_Data[[#This Row],[Circulating_Supply($)]]</f>
        <v>8.3169952637955719E-5</v>
      </c>
      <c r="J160">
        <f>RANK(Table_Cleaned_Data[[#This Row],[Market Cap]],Table_Cleaned_Data[Market Cap],0)</f>
        <v>158</v>
      </c>
      <c r="K160" t="str">
        <f t="shared" si="2"/>
        <v>0–0.5</v>
      </c>
    </row>
    <row r="161" spans="1:11" x14ac:dyDescent="0.35">
      <c r="A161" t="s">
        <v>1054</v>
      </c>
      <c r="B161" t="s">
        <v>1055</v>
      </c>
      <c r="C161">
        <v>4354.6000000000004</v>
      </c>
      <c r="D161">
        <v>3.8999999999999998E-3</v>
      </c>
      <c r="E161">
        <v>10087488</v>
      </c>
      <c r="F161">
        <v>95760</v>
      </c>
      <c r="G161" t="s">
        <v>1059</v>
      </c>
      <c r="H161">
        <v>2310</v>
      </c>
      <c r="I161">
        <f>Table_Cleaned_Data[[#This Row],[Volume (24h) USD]]/Table_Cleaned_Data[[#This Row],[Circulating_Supply($)]]</f>
        <v>41.454545454545453</v>
      </c>
      <c r="J161">
        <f>RANK(Table_Cleaned_Data[[#This Row],[Market Cap]],Table_Cleaned_Data[Market Cap],0)</f>
        <v>160</v>
      </c>
      <c r="K161" t="str">
        <f t="shared" si="2"/>
        <v>1000–10000</v>
      </c>
    </row>
    <row r="162" spans="1:11" x14ac:dyDescent="0.35">
      <c r="A162" t="s">
        <v>1060</v>
      </c>
      <c r="B162" t="s">
        <v>1061</v>
      </c>
      <c r="C162">
        <v>1E-3</v>
      </c>
      <c r="D162">
        <v>1.8E-3</v>
      </c>
      <c r="E162">
        <v>10100897</v>
      </c>
      <c r="F162">
        <v>398895</v>
      </c>
      <c r="G162" t="s">
        <v>1065</v>
      </c>
      <c r="H162">
        <v>10000000000</v>
      </c>
      <c r="I162">
        <f>Table_Cleaned_Data[[#This Row],[Volume (24h) USD]]/Table_Cleaned_Data[[#This Row],[Circulating_Supply($)]]</f>
        <v>3.9889499999999998E-5</v>
      </c>
      <c r="J162">
        <f>RANK(Table_Cleaned_Data[[#This Row],[Market Cap]],Table_Cleaned_Data[Market Cap],0)</f>
        <v>159</v>
      </c>
      <c r="K162" t="str">
        <f t="shared" si="2"/>
        <v>0–0.5</v>
      </c>
    </row>
    <row r="163" spans="1:11" x14ac:dyDescent="0.35">
      <c r="A163" t="s">
        <v>1066</v>
      </c>
      <c r="B163" t="s">
        <v>1067</v>
      </c>
      <c r="C163">
        <v>1.1000000000000001E-3</v>
      </c>
      <c r="D163">
        <v>2.0999999999999999E-3</v>
      </c>
      <c r="E163">
        <v>8122293</v>
      </c>
      <c r="F163">
        <v>2571910</v>
      </c>
      <c r="G163" t="s">
        <v>1071</v>
      </c>
      <c r="H163">
        <v>7150000000</v>
      </c>
      <c r="I163">
        <f>Table_Cleaned_Data[[#This Row],[Volume (24h) USD]]/Table_Cleaned_Data[[#This Row],[Circulating_Supply($)]]</f>
        <v>3.5970769230769231E-4</v>
      </c>
      <c r="J163">
        <f>RANK(Table_Cleaned_Data[[#This Row],[Market Cap]],Table_Cleaned_Data[Market Cap],0)</f>
        <v>161</v>
      </c>
      <c r="K163" t="str">
        <f t="shared" si="2"/>
        <v>0–0.5</v>
      </c>
    </row>
    <row r="164" spans="1:11" x14ac:dyDescent="0.35">
      <c r="A164" t="s">
        <v>1072</v>
      </c>
      <c r="B164" t="s">
        <v>1073</v>
      </c>
      <c r="C164">
        <v>0.2031</v>
      </c>
      <c r="D164">
        <v>4.0000000000000002E-4</v>
      </c>
      <c r="E164">
        <v>8105168</v>
      </c>
      <c r="F164">
        <v>197847</v>
      </c>
      <c r="G164" t="s">
        <v>1077</v>
      </c>
      <c r="H164">
        <v>39900000</v>
      </c>
      <c r="I164">
        <f>Table_Cleaned_Data[[#This Row],[Volume (24h) USD]]/Table_Cleaned_Data[[#This Row],[Circulating_Supply($)]]</f>
        <v>4.9585714285714285E-3</v>
      </c>
      <c r="J164">
        <f>RANK(Table_Cleaned_Data[[#This Row],[Market Cap]],Table_Cleaned_Data[Market Cap],0)</f>
        <v>162</v>
      </c>
      <c r="K164" t="str">
        <f t="shared" si="2"/>
        <v>0–0.5</v>
      </c>
    </row>
    <row r="165" spans="1:11" x14ac:dyDescent="0.35">
      <c r="A165" t="s">
        <v>1078</v>
      </c>
      <c r="B165" t="s">
        <v>1079</v>
      </c>
      <c r="C165">
        <v>5.05</v>
      </c>
      <c r="D165">
        <v>0</v>
      </c>
      <c r="E165">
        <v>8086725</v>
      </c>
      <c r="F165">
        <v>2041502</v>
      </c>
      <c r="G165" t="s">
        <v>1083</v>
      </c>
      <c r="H165">
        <v>1600000</v>
      </c>
      <c r="I165">
        <f>Table_Cleaned_Data[[#This Row],[Volume (24h) USD]]/Table_Cleaned_Data[[#This Row],[Circulating_Supply($)]]</f>
        <v>1.2759387499999999</v>
      </c>
      <c r="J165">
        <f>RANK(Table_Cleaned_Data[[#This Row],[Market Cap]],Table_Cleaned_Data[Market Cap],0)</f>
        <v>163</v>
      </c>
      <c r="K165" t="str">
        <f t="shared" si="2"/>
        <v>2–10</v>
      </c>
    </row>
    <row r="166" spans="1:11" x14ac:dyDescent="0.35">
      <c r="A166" t="s">
        <v>1084</v>
      </c>
      <c r="B166" t="s">
        <v>1085</v>
      </c>
      <c r="C166">
        <v>13.89</v>
      </c>
      <c r="D166">
        <v>1E-4</v>
      </c>
      <c r="E166">
        <v>8086075</v>
      </c>
      <c r="F166">
        <v>81528</v>
      </c>
      <c r="G166" t="s">
        <v>1089</v>
      </c>
      <c r="H166">
        <v>581880</v>
      </c>
      <c r="I166">
        <f>Table_Cleaned_Data[[#This Row],[Volume (24h) USD]]/Table_Cleaned_Data[[#This Row],[Circulating_Supply($)]]</f>
        <v>0.14011136316766343</v>
      </c>
      <c r="J166">
        <f>RANK(Table_Cleaned_Data[[#This Row],[Market Cap]],Table_Cleaned_Data[Market Cap],0)</f>
        <v>164</v>
      </c>
      <c r="K166" t="str">
        <f t="shared" si="2"/>
        <v>10–100</v>
      </c>
    </row>
    <row r="167" spans="1:11" x14ac:dyDescent="0.35">
      <c r="A167" t="s">
        <v>1090</v>
      </c>
      <c r="B167" t="s">
        <v>1091</v>
      </c>
      <c r="C167">
        <v>2.4299999999999999E-2</v>
      </c>
      <c r="D167">
        <v>3.3E-3</v>
      </c>
      <c r="E167">
        <v>8072787</v>
      </c>
      <c r="F167">
        <v>1922221</v>
      </c>
      <c r="G167" t="s">
        <v>1096</v>
      </c>
      <c r="H167">
        <v>331980000</v>
      </c>
      <c r="I167">
        <f>Table_Cleaned_Data[[#This Row],[Volume (24h) USD]]/Table_Cleaned_Data[[#This Row],[Circulating_Supply($)]]</f>
        <v>5.7901710946442553E-3</v>
      </c>
      <c r="J167">
        <f>RANK(Table_Cleaned_Data[[#This Row],[Market Cap]],Table_Cleaned_Data[Market Cap],0)</f>
        <v>165</v>
      </c>
      <c r="K167" t="str">
        <f t="shared" si="2"/>
        <v>0–0.5</v>
      </c>
    </row>
    <row r="168" spans="1:11" x14ac:dyDescent="0.35">
      <c r="A168" t="s">
        <v>1097</v>
      </c>
      <c r="B168" t="s">
        <v>1098</v>
      </c>
      <c r="C168">
        <v>9.9500000000000005E-2</v>
      </c>
      <c r="D168">
        <v>1E-3</v>
      </c>
      <c r="E168">
        <v>8024621</v>
      </c>
      <c r="F168">
        <v>222727</v>
      </c>
      <c r="G168" t="s">
        <v>1102</v>
      </c>
      <c r="H168">
        <v>80610000</v>
      </c>
      <c r="I168">
        <f>Table_Cleaned_Data[[#This Row],[Volume (24h) USD]]/Table_Cleaned_Data[[#This Row],[Circulating_Supply($)]]</f>
        <v>2.7630194764917504E-3</v>
      </c>
      <c r="J168">
        <f>RANK(Table_Cleaned_Data[[#This Row],[Market Cap]],Table_Cleaned_Data[Market Cap],0)</f>
        <v>166</v>
      </c>
      <c r="K168" t="str">
        <f t="shared" si="2"/>
        <v>0–0.5</v>
      </c>
    </row>
    <row r="169" spans="1:11" x14ac:dyDescent="0.35">
      <c r="A169" t="s">
        <v>1103</v>
      </c>
      <c r="B169" t="s">
        <v>1104</v>
      </c>
      <c r="C169">
        <v>11.3</v>
      </c>
      <c r="D169">
        <v>1.9E-3</v>
      </c>
      <c r="E169">
        <v>7986894</v>
      </c>
      <c r="F169">
        <v>1293</v>
      </c>
      <c r="G169" t="s">
        <v>1109</v>
      </c>
      <c r="H169">
        <v>706330</v>
      </c>
      <c r="I169">
        <f>Table_Cleaned_Data[[#This Row],[Volume (24h) USD]]/Table_Cleaned_Data[[#This Row],[Circulating_Supply($)]]</f>
        <v>1.8305891014115216E-3</v>
      </c>
      <c r="J169">
        <f>RANK(Table_Cleaned_Data[[#This Row],[Market Cap]],Table_Cleaned_Data[Market Cap],0)</f>
        <v>167</v>
      </c>
      <c r="K169" t="str">
        <f t="shared" si="2"/>
        <v>10–100</v>
      </c>
    </row>
    <row r="170" spans="1:11" x14ac:dyDescent="0.35">
      <c r="A170" t="s">
        <v>1110</v>
      </c>
      <c r="B170" t="s">
        <v>1111</v>
      </c>
      <c r="C170">
        <v>1.41E-2</v>
      </c>
      <c r="D170">
        <v>5.0000000000000001E-4</v>
      </c>
      <c r="E170">
        <v>7979231</v>
      </c>
      <c r="F170">
        <v>2089834</v>
      </c>
      <c r="G170" t="s">
        <v>1115</v>
      </c>
      <c r="H170">
        <v>566340000</v>
      </c>
      <c r="I170">
        <f>Table_Cleaned_Data[[#This Row],[Volume (24h) USD]]/Table_Cleaned_Data[[#This Row],[Circulating_Supply($)]]</f>
        <v>3.6900695695165448E-3</v>
      </c>
      <c r="J170">
        <f>RANK(Table_Cleaned_Data[[#This Row],[Market Cap]],Table_Cleaned_Data[Market Cap],0)</f>
        <v>168</v>
      </c>
      <c r="K170" t="str">
        <f t="shared" si="2"/>
        <v>0–0.5</v>
      </c>
    </row>
    <row r="171" spans="1:11" x14ac:dyDescent="0.35">
      <c r="A171" t="s">
        <v>1116</v>
      </c>
      <c r="B171" t="s">
        <v>1117</v>
      </c>
      <c r="C171">
        <v>0.99909999999999999</v>
      </c>
      <c r="D171">
        <v>2.0000000000000001E-4</v>
      </c>
      <c r="E171">
        <v>7973287</v>
      </c>
      <c r="F171">
        <v>3377869</v>
      </c>
      <c r="G171" t="s">
        <v>1121</v>
      </c>
      <c r="H171">
        <v>7980000</v>
      </c>
      <c r="I171">
        <f>Table_Cleaned_Data[[#This Row],[Volume (24h) USD]]/Table_Cleaned_Data[[#This Row],[Circulating_Supply($)]]</f>
        <v>0.42329185463659147</v>
      </c>
      <c r="J171">
        <f>RANK(Table_Cleaned_Data[[#This Row],[Market Cap]],Table_Cleaned_Data[Market Cap],0)</f>
        <v>169</v>
      </c>
      <c r="K171" t="str">
        <f t="shared" si="2"/>
        <v>0.5–1</v>
      </c>
    </row>
    <row r="172" spans="1:11" x14ac:dyDescent="0.35">
      <c r="A172" t="s">
        <v>1122</v>
      </c>
      <c r="B172" t="s">
        <v>1123</v>
      </c>
      <c r="C172">
        <v>1.3299999999999999E-2</v>
      </c>
      <c r="D172">
        <v>4.7600000000000003E-2</v>
      </c>
      <c r="E172">
        <v>7967451</v>
      </c>
      <c r="F172">
        <v>1560930</v>
      </c>
      <c r="G172" t="s">
        <v>1128</v>
      </c>
      <c r="H172">
        <v>599620000</v>
      </c>
      <c r="I172">
        <f>Table_Cleaned_Data[[#This Row],[Volume (24h) USD]]/Table_Cleaned_Data[[#This Row],[Circulating_Supply($)]]</f>
        <v>2.6031986925052534E-3</v>
      </c>
      <c r="J172">
        <f>RANK(Table_Cleaned_Data[[#This Row],[Market Cap]],Table_Cleaned_Data[Market Cap],0)</f>
        <v>170</v>
      </c>
      <c r="K172" t="str">
        <f t="shared" si="2"/>
        <v>0–0.5</v>
      </c>
    </row>
    <row r="173" spans="1:11" x14ac:dyDescent="0.35">
      <c r="A173" t="s">
        <v>1129</v>
      </c>
      <c r="B173" t="s">
        <v>1130</v>
      </c>
      <c r="C173">
        <v>9.1999999999999998E-3</v>
      </c>
      <c r="D173">
        <v>1.1000000000000001E-3</v>
      </c>
      <c r="E173">
        <v>7953928</v>
      </c>
      <c r="F173">
        <v>7410</v>
      </c>
      <c r="G173" t="s">
        <v>1134</v>
      </c>
      <c r="H173">
        <v>868560000</v>
      </c>
      <c r="I173">
        <f>Table_Cleaned_Data[[#This Row],[Volume (24h) USD]]/Table_Cleaned_Data[[#This Row],[Circulating_Supply($)]]</f>
        <v>8.5313622547665096E-6</v>
      </c>
      <c r="J173">
        <f>RANK(Table_Cleaned_Data[[#This Row],[Market Cap]],Table_Cleaned_Data[Market Cap],0)</f>
        <v>171</v>
      </c>
      <c r="K173" t="str">
        <f t="shared" si="2"/>
        <v>0–0.5</v>
      </c>
    </row>
    <row r="174" spans="1:11" x14ac:dyDescent="0.35">
      <c r="A174" t="s">
        <v>1135</v>
      </c>
      <c r="B174" t="s">
        <v>1136</v>
      </c>
      <c r="C174">
        <v>0.23469999999999999</v>
      </c>
      <c r="D174">
        <v>6.9999999999999999E-4</v>
      </c>
      <c r="E174">
        <v>7940136</v>
      </c>
      <c r="F174">
        <v>3179</v>
      </c>
      <c r="G174" t="s">
        <v>1140</v>
      </c>
      <c r="H174">
        <v>33820000</v>
      </c>
      <c r="I174">
        <f>Table_Cleaned_Data[[#This Row],[Volume (24h) USD]]/Table_Cleaned_Data[[#This Row],[Circulating_Supply($)]]</f>
        <v>9.3997634535777642E-5</v>
      </c>
      <c r="J174">
        <f>RANK(Table_Cleaned_Data[[#This Row],[Market Cap]],Table_Cleaned_Data[Market Cap],0)</f>
        <v>172</v>
      </c>
      <c r="K174" t="str">
        <f t="shared" si="2"/>
        <v>0–0.5</v>
      </c>
    </row>
    <row r="175" spans="1:11" x14ac:dyDescent="0.35">
      <c r="A175" t="s">
        <v>1141</v>
      </c>
      <c r="B175" t="s">
        <v>1142</v>
      </c>
      <c r="C175">
        <v>8.2000000000000007E-3</v>
      </c>
      <c r="D175">
        <v>0.04</v>
      </c>
      <c r="E175">
        <v>7939043</v>
      </c>
      <c r="F175">
        <v>4301672</v>
      </c>
      <c r="G175" t="s">
        <v>1147</v>
      </c>
      <c r="H175">
        <v>970980000</v>
      </c>
      <c r="I175">
        <f>Table_Cleaned_Data[[#This Row],[Volume (24h) USD]]/Table_Cleaned_Data[[#This Row],[Circulating_Supply($)]]</f>
        <v>4.4302374920183732E-3</v>
      </c>
      <c r="J175">
        <f>RANK(Table_Cleaned_Data[[#This Row],[Market Cap]],Table_Cleaned_Data[Market Cap],0)</f>
        <v>173</v>
      </c>
      <c r="K175" t="str">
        <f t="shared" si="2"/>
        <v>0–0.5</v>
      </c>
    </row>
    <row r="176" spans="1:11" x14ac:dyDescent="0.35">
      <c r="A176" t="s">
        <v>1153</v>
      </c>
      <c r="B176" t="s">
        <v>1154</v>
      </c>
      <c r="C176">
        <v>8.5000000000000006E-3</v>
      </c>
      <c r="D176">
        <v>3.5000000000000001E-3</v>
      </c>
      <c r="E176">
        <v>7914890</v>
      </c>
      <c r="F176">
        <v>77409</v>
      </c>
      <c r="G176" t="s">
        <v>1158</v>
      </c>
      <c r="H176">
        <v>935810000</v>
      </c>
      <c r="I176">
        <f>Table_Cleaned_Data[[#This Row],[Volume (24h) USD]]/Table_Cleaned_Data[[#This Row],[Circulating_Supply($)]]</f>
        <v>8.2718714268922115E-5</v>
      </c>
      <c r="J176">
        <f>RANK(Table_Cleaned_Data[[#This Row],[Market Cap]],Table_Cleaned_Data[Market Cap],0)</f>
        <v>174</v>
      </c>
      <c r="K176" t="str">
        <f t="shared" si="2"/>
        <v>0–0.5</v>
      </c>
    </row>
    <row r="177" spans="1:11" x14ac:dyDescent="0.35">
      <c r="A177" t="s">
        <v>1159</v>
      </c>
      <c r="B177" t="s">
        <v>1160</v>
      </c>
      <c r="C177">
        <v>8.9999999999999998E-4</v>
      </c>
      <c r="D177">
        <v>2.7000000000000001E-3</v>
      </c>
      <c r="E177">
        <v>6272861</v>
      </c>
      <c r="F177">
        <v>273867</v>
      </c>
      <c r="G177" t="s">
        <v>1164</v>
      </c>
      <c r="H177">
        <v>7370000000</v>
      </c>
      <c r="I177">
        <f>Table_Cleaned_Data[[#This Row],[Volume (24h) USD]]/Table_Cleaned_Data[[#This Row],[Circulating_Supply($)]]</f>
        <v>3.7159701492537311E-5</v>
      </c>
      <c r="J177">
        <f>RANK(Table_Cleaned_Data[[#This Row],[Market Cap]],Table_Cleaned_Data[Market Cap],0)</f>
        <v>176</v>
      </c>
      <c r="K177" t="str">
        <f t="shared" si="2"/>
        <v>0–0.5</v>
      </c>
    </row>
    <row r="178" spans="1:11" x14ac:dyDescent="0.35">
      <c r="A178" t="s">
        <v>1165</v>
      </c>
      <c r="B178" t="s">
        <v>1165</v>
      </c>
      <c r="C178">
        <v>7.9000000000000008E-3</v>
      </c>
      <c r="D178">
        <v>4.0000000000000002E-4</v>
      </c>
      <c r="E178">
        <v>6265404</v>
      </c>
      <c r="F178">
        <v>2426</v>
      </c>
      <c r="G178" t="s">
        <v>1169</v>
      </c>
      <c r="H178">
        <v>792550000</v>
      </c>
      <c r="I178">
        <f>Table_Cleaned_Data[[#This Row],[Volume (24h) USD]]/Table_Cleaned_Data[[#This Row],[Circulating_Supply($)]]</f>
        <v>3.0610056147877104E-6</v>
      </c>
      <c r="J178">
        <f>RANK(Table_Cleaned_Data[[#This Row],[Market Cap]],Table_Cleaned_Data[Market Cap],0)</f>
        <v>177</v>
      </c>
      <c r="K178" t="str">
        <f t="shared" si="2"/>
        <v>0–0.5</v>
      </c>
    </row>
    <row r="179" spans="1:11" x14ac:dyDescent="0.35">
      <c r="A179" t="s">
        <v>1170</v>
      </c>
      <c r="B179" t="s">
        <v>1170</v>
      </c>
      <c r="C179">
        <v>7.1499999999999994E-2</v>
      </c>
      <c r="D179">
        <v>6.1000000000000004E-3</v>
      </c>
      <c r="E179">
        <v>6254137</v>
      </c>
      <c r="F179">
        <v>212197</v>
      </c>
      <c r="G179" t="s">
        <v>1174</v>
      </c>
      <c r="H179">
        <v>420000000000000</v>
      </c>
      <c r="I179">
        <f>Table_Cleaned_Data[[#This Row],[Volume (24h) USD]]/Table_Cleaned_Data[[#This Row],[Circulating_Supply($)]]</f>
        <v>5.0523095238095235E-10</v>
      </c>
      <c r="J179">
        <f>RANK(Table_Cleaned_Data[[#This Row],[Market Cap]],Table_Cleaned_Data[Market Cap],0)</f>
        <v>178</v>
      </c>
      <c r="K179" t="str">
        <f t="shared" si="2"/>
        <v>0–0.5</v>
      </c>
    </row>
    <row r="180" spans="1:11" x14ac:dyDescent="0.35">
      <c r="A180" t="s">
        <v>1175</v>
      </c>
      <c r="B180" t="s">
        <v>1176</v>
      </c>
      <c r="C180">
        <v>4.2200000000000001E-2</v>
      </c>
      <c r="D180">
        <v>9.4999999999999998E-3</v>
      </c>
      <c r="E180">
        <v>6251681</v>
      </c>
      <c r="F180">
        <v>1825074</v>
      </c>
      <c r="G180" t="s">
        <v>1180</v>
      </c>
      <c r="H180">
        <v>148160000</v>
      </c>
      <c r="I180">
        <f>Table_Cleaned_Data[[#This Row],[Volume (24h) USD]]/Table_Cleaned_Data[[#This Row],[Circulating_Supply($)]]</f>
        <v>1.231826403887689E-2</v>
      </c>
      <c r="J180">
        <f>RANK(Table_Cleaned_Data[[#This Row],[Market Cap]],Table_Cleaned_Data[Market Cap],0)</f>
        <v>179</v>
      </c>
      <c r="K180" t="str">
        <f t="shared" si="2"/>
        <v>0–0.5</v>
      </c>
    </row>
    <row r="181" spans="1:11" x14ac:dyDescent="0.35">
      <c r="A181" t="s">
        <v>1181</v>
      </c>
      <c r="B181" t="s">
        <v>1182</v>
      </c>
      <c r="C181">
        <v>4.4400000000000002E-2</v>
      </c>
      <c r="D181">
        <v>1.6999999999999999E-3</v>
      </c>
      <c r="E181">
        <v>6230699</v>
      </c>
      <c r="F181">
        <v>1228669</v>
      </c>
      <c r="G181" t="s">
        <v>1186</v>
      </c>
      <c r="H181">
        <v>140280000</v>
      </c>
      <c r="I181">
        <f>Table_Cleaned_Data[[#This Row],[Volume (24h) USD]]/Table_Cleaned_Data[[#This Row],[Circulating_Supply($)]]</f>
        <v>8.7586897633304822E-3</v>
      </c>
      <c r="J181">
        <f>RANK(Table_Cleaned_Data[[#This Row],[Market Cap]],Table_Cleaned_Data[Market Cap],0)</f>
        <v>180</v>
      </c>
      <c r="K181" t="str">
        <f t="shared" si="2"/>
        <v>0–0.5</v>
      </c>
    </row>
    <row r="182" spans="1:11" x14ac:dyDescent="0.35">
      <c r="A182" t="s">
        <v>1187</v>
      </c>
      <c r="B182" t="s">
        <v>1188</v>
      </c>
      <c r="C182">
        <v>0.1143</v>
      </c>
      <c r="D182">
        <v>2.5000000000000001E-3</v>
      </c>
      <c r="E182">
        <v>6216056</v>
      </c>
      <c r="F182">
        <v>3022</v>
      </c>
      <c r="G182" t="s">
        <v>1192</v>
      </c>
      <c r="H182">
        <v>54370000</v>
      </c>
      <c r="I182">
        <f>Table_Cleaned_Data[[#This Row],[Volume (24h) USD]]/Table_Cleaned_Data[[#This Row],[Circulating_Supply($)]]</f>
        <v>5.5582122494022437E-5</v>
      </c>
      <c r="J182">
        <f>RANK(Table_Cleaned_Data[[#This Row],[Market Cap]],Table_Cleaned_Data[Market Cap],0)</f>
        <v>181</v>
      </c>
      <c r="K182" t="str">
        <f t="shared" si="2"/>
        <v>0–0.5</v>
      </c>
    </row>
    <row r="183" spans="1:11" x14ac:dyDescent="0.35">
      <c r="A183" t="s">
        <v>1193</v>
      </c>
      <c r="B183" t="s">
        <v>1193</v>
      </c>
      <c r="C183">
        <v>5.9999999999999995E-4</v>
      </c>
      <c r="D183">
        <v>1E-4</v>
      </c>
      <c r="E183">
        <v>6207938</v>
      </c>
      <c r="F183">
        <v>40938</v>
      </c>
      <c r="G183" t="s">
        <v>1197</v>
      </c>
      <c r="H183">
        <v>9680000000</v>
      </c>
      <c r="I183">
        <f>Table_Cleaned_Data[[#This Row],[Volume (24h) USD]]/Table_Cleaned_Data[[#This Row],[Circulating_Supply($)]]</f>
        <v>4.2291322314049584E-6</v>
      </c>
      <c r="J183">
        <f>RANK(Table_Cleaned_Data[[#This Row],[Market Cap]],Table_Cleaned_Data[Market Cap],0)</f>
        <v>182</v>
      </c>
      <c r="K183" t="str">
        <f t="shared" si="2"/>
        <v>0–0.5</v>
      </c>
    </row>
    <row r="184" spans="1:11" x14ac:dyDescent="0.35">
      <c r="A184" t="s">
        <v>1198</v>
      </c>
      <c r="B184" t="s">
        <v>1199</v>
      </c>
      <c r="C184">
        <v>6.6E-3</v>
      </c>
      <c r="D184">
        <v>2.5999999999999999E-3</v>
      </c>
      <c r="E184">
        <v>6205613</v>
      </c>
      <c r="F184">
        <v>247193</v>
      </c>
      <c r="G184" t="s">
        <v>1203</v>
      </c>
      <c r="H184">
        <v>944700000</v>
      </c>
      <c r="I184">
        <f>Table_Cleaned_Data[[#This Row],[Volume (24h) USD]]/Table_Cleaned_Data[[#This Row],[Circulating_Supply($)]]</f>
        <v>2.6166296178681064E-4</v>
      </c>
      <c r="J184">
        <f>RANK(Table_Cleaned_Data[[#This Row],[Market Cap]],Table_Cleaned_Data[Market Cap],0)</f>
        <v>183</v>
      </c>
      <c r="K184" t="str">
        <f t="shared" si="2"/>
        <v>0–0.5</v>
      </c>
    </row>
    <row r="185" spans="1:11" x14ac:dyDescent="0.35">
      <c r="A185" t="s">
        <v>1204</v>
      </c>
      <c r="B185" t="s">
        <v>1205</v>
      </c>
      <c r="C185">
        <v>6.1999999999999998E-3</v>
      </c>
      <c r="D185">
        <v>6.4000000000000003E-3</v>
      </c>
      <c r="E185">
        <v>6161025</v>
      </c>
      <c r="F185">
        <v>524306</v>
      </c>
      <c r="G185" t="s">
        <v>1209</v>
      </c>
      <c r="H185">
        <v>999970000</v>
      </c>
      <c r="I185">
        <f>Table_Cleaned_Data[[#This Row],[Volume (24h) USD]]/Table_Cleaned_Data[[#This Row],[Circulating_Supply($)]]</f>
        <v>5.2432172965188959E-4</v>
      </c>
      <c r="J185">
        <f>RANK(Table_Cleaned_Data[[#This Row],[Market Cap]],Table_Cleaned_Data[Market Cap],0)</f>
        <v>184</v>
      </c>
      <c r="K185" t="str">
        <f t="shared" si="2"/>
        <v>0–0.5</v>
      </c>
    </row>
    <row r="186" spans="1:11" x14ac:dyDescent="0.35">
      <c r="A186" t="s">
        <v>1214</v>
      </c>
      <c r="B186" t="s">
        <v>1215</v>
      </c>
      <c r="C186">
        <v>5.9999999999999995E-4</v>
      </c>
      <c r="D186">
        <v>5.0000000000000001E-4</v>
      </c>
      <c r="E186">
        <v>6129073</v>
      </c>
      <c r="F186">
        <v>2807172</v>
      </c>
      <c r="G186" t="s">
        <v>1065</v>
      </c>
      <c r="H186">
        <v>10000000000</v>
      </c>
      <c r="I186">
        <f>Table_Cleaned_Data[[#This Row],[Volume (24h) USD]]/Table_Cleaned_Data[[#This Row],[Circulating_Supply($)]]</f>
        <v>2.807172E-4</v>
      </c>
      <c r="J186">
        <f>RANK(Table_Cleaned_Data[[#This Row],[Market Cap]],Table_Cleaned_Data[Market Cap],0)</f>
        <v>185</v>
      </c>
      <c r="K186" t="str">
        <f t="shared" si="2"/>
        <v>0–0.5</v>
      </c>
    </row>
    <row r="187" spans="1:11" x14ac:dyDescent="0.35">
      <c r="A187" t="s">
        <v>1219</v>
      </c>
      <c r="B187" t="s">
        <v>1220</v>
      </c>
      <c r="C187">
        <v>8.1600000000000006E-2</v>
      </c>
      <c r="D187">
        <v>6.8999999999999999E-3</v>
      </c>
      <c r="E187">
        <v>6127767</v>
      </c>
      <c r="F187">
        <v>91514</v>
      </c>
      <c r="G187" t="s">
        <v>1224</v>
      </c>
      <c r="H187">
        <v>75120000</v>
      </c>
      <c r="I187">
        <f>Table_Cleaned_Data[[#This Row],[Volume (24h) USD]]/Table_Cleaned_Data[[#This Row],[Circulating_Supply($)]]</f>
        <v>1.218237486687966E-3</v>
      </c>
      <c r="J187">
        <f>RANK(Table_Cleaned_Data[[#This Row],[Market Cap]],Table_Cleaned_Data[Market Cap],0)</f>
        <v>186</v>
      </c>
      <c r="K187" t="str">
        <f t="shared" si="2"/>
        <v>0–0.5</v>
      </c>
    </row>
    <row r="188" spans="1:11" x14ac:dyDescent="0.35">
      <c r="A188" t="s">
        <v>1225</v>
      </c>
      <c r="B188" t="s">
        <v>1226</v>
      </c>
      <c r="C188">
        <v>0.31659999999999999</v>
      </c>
      <c r="D188">
        <v>1E-4</v>
      </c>
      <c r="E188">
        <v>6115705</v>
      </c>
      <c r="F188">
        <v>102283</v>
      </c>
      <c r="G188" t="s">
        <v>1230</v>
      </c>
      <c r="H188">
        <v>19310000</v>
      </c>
      <c r="I188">
        <f>Table_Cleaned_Data[[#This Row],[Volume (24h) USD]]/Table_Cleaned_Data[[#This Row],[Circulating_Supply($)]]</f>
        <v>5.2968928016571722E-3</v>
      </c>
      <c r="J188">
        <f>RANK(Table_Cleaned_Data[[#This Row],[Market Cap]],Table_Cleaned_Data[Market Cap],0)</f>
        <v>187</v>
      </c>
      <c r="K188" t="str">
        <f t="shared" si="2"/>
        <v>0–0.5</v>
      </c>
    </row>
    <row r="189" spans="1:11" x14ac:dyDescent="0.35">
      <c r="A189" t="s">
        <v>1231</v>
      </c>
      <c r="B189" t="s">
        <v>1232</v>
      </c>
      <c r="C189">
        <v>1.6999999999999999E-3</v>
      </c>
      <c r="D189">
        <v>3.5999999999999999E-3</v>
      </c>
      <c r="E189">
        <v>6114215</v>
      </c>
      <c r="F189">
        <v>87536</v>
      </c>
      <c r="G189" t="s">
        <v>1236</v>
      </c>
      <c r="H189">
        <v>3700000000</v>
      </c>
      <c r="I189">
        <f>Table_Cleaned_Data[[#This Row],[Volume (24h) USD]]/Table_Cleaned_Data[[#This Row],[Circulating_Supply($)]]</f>
        <v>2.3658378378378379E-5</v>
      </c>
      <c r="J189">
        <f>RANK(Table_Cleaned_Data[[#This Row],[Market Cap]],Table_Cleaned_Data[Market Cap],0)</f>
        <v>188</v>
      </c>
      <c r="K189" t="str">
        <f t="shared" si="2"/>
        <v>0–0.5</v>
      </c>
    </row>
    <row r="190" spans="1:11" x14ac:dyDescent="0.35">
      <c r="A190" t="s">
        <v>1237</v>
      </c>
      <c r="B190" t="s">
        <v>1238</v>
      </c>
      <c r="C190">
        <v>6.1000000000000004E-3</v>
      </c>
      <c r="D190">
        <v>8.9999999999999998E-4</v>
      </c>
      <c r="E190">
        <v>6103902</v>
      </c>
      <c r="F190">
        <v>27657</v>
      </c>
      <c r="G190" t="s">
        <v>597</v>
      </c>
      <c r="H190">
        <v>1000000000</v>
      </c>
      <c r="I190">
        <f>Table_Cleaned_Data[[#This Row],[Volume (24h) USD]]/Table_Cleaned_Data[[#This Row],[Circulating_Supply($)]]</f>
        <v>2.7657E-5</v>
      </c>
      <c r="J190">
        <f>RANK(Table_Cleaned_Data[[#This Row],[Market Cap]],Table_Cleaned_Data[Market Cap],0)</f>
        <v>189</v>
      </c>
      <c r="K190" t="str">
        <f t="shared" si="2"/>
        <v>0–0.5</v>
      </c>
    </row>
    <row r="191" spans="1:11" x14ac:dyDescent="0.35">
      <c r="A191" t="s">
        <v>1242</v>
      </c>
      <c r="B191" t="s">
        <v>1243</v>
      </c>
      <c r="C191">
        <v>1.8E-3</v>
      </c>
      <c r="D191">
        <v>1E-4</v>
      </c>
      <c r="E191">
        <v>4972149</v>
      </c>
      <c r="F191">
        <v>12701</v>
      </c>
      <c r="G191" t="s">
        <v>1247</v>
      </c>
      <c r="H191">
        <v>2770000000</v>
      </c>
      <c r="I191">
        <f>Table_Cleaned_Data[[#This Row],[Volume (24h) USD]]/Table_Cleaned_Data[[#This Row],[Circulating_Supply($)]]</f>
        <v>4.5851985559566785E-6</v>
      </c>
      <c r="J191">
        <f>RANK(Table_Cleaned_Data[[#This Row],[Market Cap]],Table_Cleaned_Data[Market Cap],0)</f>
        <v>190</v>
      </c>
      <c r="K191" t="str">
        <f t="shared" si="2"/>
        <v>0–0.5</v>
      </c>
    </row>
    <row r="192" spans="1:11" x14ac:dyDescent="0.35">
      <c r="A192" t="s">
        <v>1248</v>
      </c>
      <c r="B192" t="s">
        <v>1249</v>
      </c>
      <c r="C192">
        <v>5.1999999999999998E-3</v>
      </c>
      <c r="D192">
        <v>2.3E-3</v>
      </c>
      <c r="E192">
        <v>4956333</v>
      </c>
      <c r="F192">
        <v>295321</v>
      </c>
      <c r="G192" t="s">
        <v>1253</v>
      </c>
      <c r="H192">
        <v>961000000</v>
      </c>
      <c r="I192">
        <f>Table_Cleaned_Data[[#This Row],[Volume (24h) USD]]/Table_Cleaned_Data[[#This Row],[Circulating_Supply($)]]</f>
        <v>3.0730593132154008E-4</v>
      </c>
      <c r="J192">
        <f>RANK(Table_Cleaned_Data[[#This Row],[Market Cap]],Table_Cleaned_Data[Market Cap],0)</f>
        <v>191</v>
      </c>
      <c r="K192" t="str">
        <f t="shared" si="2"/>
        <v>0–0.5</v>
      </c>
    </row>
    <row r="193" spans="1:11" x14ac:dyDescent="0.35">
      <c r="A193" t="s">
        <v>1254</v>
      </c>
      <c r="B193" t="s">
        <v>1255</v>
      </c>
      <c r="C193">
        <v>2.9999999999999997E-4</v>
      </c>
      <c r="D193">
        <v>7.9000000000000008E-3</v>
      </c>
      <c r="E193">
        <v>4939957</v>
      </c>
      <c r="F193">
        <v>126269</v>
      </c>
      <c r="G193" t="s">
        <v>1259</v>
      </c>
      <c r="H193">
        <v>18320000000</v>
      </c>
      <c r="I193">
        <f>Table_Cleaned_Data[[#This Row],[Volume (24h) USD]]/Table_Cleaned_Data[[#This Row],[Circulating_Supply($)]]</f>
        <v>6.8924126637554587E-6</v>
      </c>
      <c r="J193">
        <f>RANK(Table_Cleaned_Data[[#This Row],[Market Cap]],Table_Cleaned_Data[Market Cap],0)</f>
        <v>192</v>
      </c>
      <c r="K193" t="str">
        <f t="shared" si="2"/>
        <v>0–0.5</v>
      </c>
    </row>
    <row r="194" spans="1:11" x14ac:dyDescent="0.35">
      <c r="A194" t="s">
        <v>1260</v>
      </c>
      <c r="B194" t="s">
        <v>1261</v>
      </c>
      <c r="C194">
        <v>1.01E-2</v>
      </c>
      <c r="D194">
        <v>2.9999999999999997E-4</v>
      </c>
      <c r="E194">
        <v>4925795</v>
      </c>
      <c r="F194">
        <v>361696</v>
      </c>
      <c r="G194" t="s">
        <v>1265</v>
      </c>
      <c r="H194">
        <v>486200000</v>
      </c>
      <c r="I194">
        <f>Table_Cleaned_Data[[#This Row],[Volume (24h) USD]]/Table_Cleaned_Data[[#This Row],[Circulating_Supply($)]]</f>
        <v>7.4392431098313451E-4</v>
      </c>
      <c r="J194">
        <f>RANK(Table_Cleaned_Data[[#This Row],[Market Cap]],Table_Cleaned_Data[Market Cap],0)</f>
        <v>193</v>
      </c>
      <c r="K194" t="str">
        <f t="shared" ref="K194:K257" si="3">IF(C194&lt;=0.5,"0–0.5",
IF(C194&lt;=1,"0.5–1",
IF(C194&lt;=2,"1–2",
IF(C194&lt;=10,"2–10",
IF(C194&lt;=100,"10–100",
IF(C194&lt;=1000,"100–1000",
IF(C194&lt;=10000,"1000–10000",
"10000+")))))))</f>
        <v>0–0.5</v>
      </c>
    </row>
    <row r="195" spans="1:11" x14ac:dyDescent="0.35">
      <c r="A195" t="s">
        <v>1266</v>
      </c>
      <c r="B195" t="s">
        <v>1267</v>
      </c>
      <c r="C195">
        <v>5.2900000000000003E-2</v>
      </c>
      <c r="D195">
        <v>2.5000000000000001E-3</v>
      </c>
      <c r="E195">
        <v>4925368</v>
      </c>
      <c r="F195">
        <v>442896</v>
      </c>
      <c r="G195" t="s">
        <v>1271</v>
      </c>
      <c r="H195">
        <v>93140000</v>
      </c>
      <c r="I195">
        <f>Table_Cleaned_Data[[#This Row],[Volume (24h) USD]]/Table_Cleaned_Data[[#This Row],[Circulating_Supply($)]]</f>
        <v>4.7551642688426028E-3</v>
      </c>
      <c r="J195">
        <f>RANK(Table_Cleaned_Data[[#This Row],[Market Cap]],Table_Cleaned_Data[Market Cap],0)</f>
        <v>194</v>
      </c>
      <c r="K195" t="str">
        <f t="shared" si="3"/>
        <v>0–0.5</v>
      </c>
    </row>
    <row r="196" spans="1:11" x14ac:dyDescent="0.35">
      <c r="A196" t="s">
        <v>1272</v>
      </c>
      <c r="B196" t="s">
        <v>1273</v>
      </c>
      <c r="C196">
        <v>2.1000000000000001E-2</v>
      </c>
      <c r="D196">
        <v>4.0000000000000002E-4</v>
      </c>
      <c r="E196">
        <v>4922842</v>
      </c>
      <c r="F196">
        <v>278183</v>
      </c>
      <c r="G196" t="s">
        <v>1277</v>
      </c>
      <c r="H196">
        <v>234520000</v>
      </c>
      <c r="I196">
        <f>Table_Cleaned_Data[[#This Row],[Volume (24h) USD]]/Table_Cleaned_Data[[#This Row],[Circulating_Supply($)]]</f>
        <v>1.1861802831315026E-3</v>
      </c>
      <c r="J196">
        <f>RANK(Table_Cleaned_Data[[#This Row],[Market Cap]],Table_Cleaned_Data[Market Cap],0)</f>
        <v>195</v>
      </c>
      <c r="K196" t="str">
        <f t="shared" si="3"/>
        <v>0–0.5</v>
      </c>
    </row>
    <row r="197" spans="1:11" x14ac:dyDescent="0.35">
      <c r="A197" t="s">
        <v>1278</v>
      </c>
      <c r="B197" t="s">
        <v>1279</v>
      </c>
      <c r="C197">
        <v>2.0000000000000001E-4</v>
      </c>
      <c r="D197">
        <v>1E-4</v>
      </c>
      <c r="E197">
        <v>4911058</v>
      </c>
      <c r="F197">
        <v>487</v>
      </c>
      <c r="G197" t="s">
        <v>1283</v>
      </c>
      <c r="H197">
        <v>20250000000</v>
      </c>
      <c r="I197">
        <f>Table_Cleaned_Data[[#This Row],[Volume (24h) USD]]/Table_Cleaned_Data[[#This Row],[Circulating_Supply($)]]</f>
        <v>2.4049382716049382E-8</v>
      </c>
      <c r="J197">
        <f>RANK(Table_Cleaned_Data[[#This Row],[Market Cap]],Table_Cleaned_Data[Market Cap],0)</f>
        <v>196</v>
      </c>
      <c r="K197" t="str">
        <f t="shared" si="3"/>
        <v>0–0.5</v>
      </c>
    </row>
    <row r="198" spans="1:11" x14ac:dyDescent="0.35">
      <c r="A198" t="s">
        <v>1284</v>
      </c>
      <c r="B198" t="s">
        <v>1285</v>
      </c>
      <c r="C198">
        <v>4.8999999999999998E-3</v>
      </c>
      <c r="D198">
        <v>4.0000000000000001E-3</v>
      </c>
      <c r="E198">
        <v>4892467</v>
      </c>
      <c r="F198">
        <v>854807</v>
      </c>
      <c r="G198" t="s">
        <v>597</v>
      </c>
      <c r="H198">
        <v>1000000000</v>
      </c>
      <c r="I198">
        <f>Table_Cleaned_Data[[#This Row],[Volume (24h) USD]]/Table_Cleaned_Data[[#This Row],[Circulating_Supply($)]]</f>
        <v>8.5480699999999996E-4</v>
      </c>
      <c r="J198">
        <f>RANK(Table_Cleaned_Data[[#This Row],[Market Cap]],Table_Cleaned_Data[Market Cap],0)</f>
        <v>197</v>
      </c>
      <c r="K198" t="str">
        <f t="shared" si="3"/>
        <v>0–0.5</v>
      </c>
    </row>
    <row r="199" spans="1:11" x14ac:dyDescent="0.35">
      <c r="A199" t="s">
        <v>1289</v>
      </c>
      <c r="B199" t="s">
        <v>1289</v>
      </c>
      <c r="C199">
        <v>0.38540000000000002</v>
      </c>
      <c r="D199">
        <v>1.6400000000000001E-2</v>
      </c>
      <c r="E199">
        <v>4877738</v>
      </c>
      <c r="F199">
        <v>215789</v>
      </c>
      <c r="G199" t="s">
        <v>1294</v>
      </c>
      <c r="H199">
        <v>12650000</v>
      </c>
      <c r="I199">
        <f>Table_Cleaned_Data[[#This Row],[Volume (24h) USD]]/Table_Cleaned_Data[[#This Row],[Circulating_Supply($)]]</f>
        <v>1.7058418972332016E-2</v>
      </c>
      <c r="J199">
        <f>RANK(Table_Cleaned_Data[[#This Row],[Market Cap]],Table_Cleaned_Data[Market Cap],0)</f>
        <v>198</v>
      </c>
      <c r="K199" t="str">
        <f t="shared" si="3"/>
        <v>0–0.5</v>
      </c>
    </row>
    <row r="200" spans="1:11" x14ac:dyDescent="0.35">
      <c r="A200" t="s">
        <v>1295</v>
      </c>
      <c r="B200" t="s">
        <v>1296</v>
      </c>
      <c r="C200">
        <v>7.85E-2</v>
      </c>
      <c r="D200">
        <v>1.1299999999999999E-2</v>
      </c>
      <c r="E200">
        <v>4876749</v>
      </c>
      <c r="F200">
        <v>375201</v>
      </c>
      <c r="G200" t="s">
        <v>1301</v>
      </c>
      <c r="H200">
        <v>57270000000000</v>
      </c>
      <c r="I200">
        <f>Table_Cleaned_Data[[#This Row],[Volume (24h) USD]]/Table_Cleaned_Data[[#This Row],[Circulating_Supply($)]]</f>
        <v>6.5514405447878473E-9</v>
      </c>
      <c r="J200">
        <f>RANK(Table_Cleaned_Data[[#This Row],[Market Cap]],Table_Cleaned_Data[Market Cap],0)</f>
        <v>199</v>
      </c>
      <c r="K200" t="str">
        <f t="shared" si="3"/>
        <v>0–0.5</v>
      </c>
    </row>
    <row r="201" spans="1:11" x14ac:dyDescent="0.35">
      <c r="A201" t="s">
        <v>1302</v>
      </c>
      <c r="B201" t="s">
        <v>1303</v>
      </c>
      <c r="C201">
        <v>4.8999999999999998E-3</v>
      </c>
      <c r="D201">
        <v>5.0000000000000001E-4</v>
      </c>
      <c r="E201">
        <v>4872450</v>
      </c>
      <c r="F201">
        <v>1280155</v>
      </c>
      <c r="G201" t="s">
        <v>1209</v>
      </c>
      <c r="H201">
        <v>999970000</v>
      </c>
      <c r="I201">
        <f>Table_Cleaned_Data[[#This Row],[Volume (24h) USD]]/Table_Cleaned_Data[[#This Row],[Circulating_Supply($)]]</f>
        <v>1.280193405802174E-3</v>
      </c>
      <c r="J201">
        <f>RANK(Table_Cleaned_Data[[#This Row],[Market Cap]],Table_Cleaned_Data[Market Cap],0)</f>
        <v>200</v>
      </c>
      <c r="K201" t="str">
        <f t="shared" si="3"/>
        <v>0–0.5</v>
      </c>
    </row>
    <row r="202" spans="1:11" x14ac:dyDescent="0.35">
      <c r="A202" t="s">
        <v>1307</v>
      </c>
      <c r="B202" t="s">
        <v>1308</v>
      </c>
      <c r="C202">
        <v>0.31380000000000002</v>
      </c>
      <c r="D202">
        <v>6.1999999999999998E-3</v>
      </c>
      <c r="E202">
        <v>4852783</v>
      </c>
      <c r="F202">
        <v>100481</v>
      </c>
      <c r="G202" t="s">
        <v>1313</v>
      </c>
      <c r="H202">
        <v>15450000</v>
      </c>
      <c r="I202">
        <f>Table_Cleaned_Data[[#This Row],[Volume (24h) USD]]/Table_Cleaned_Data[[#This Row],[Circulating_Supply($)]]</f>
        <v>6.5036245954692559E-3</v>
      </c>
      <c r="J202">
        <f>RANK(Table_Cleaned_Data[[#This Row],[Market Cap]],Table_Cleaned_Data[Market Cap],0)</f>
        <v>201</v>
      </c>
      <c r="K202" t="str">
        <f t="shared" si="3"/>
        <v>0–0.5</v>
      </c>
    </row>
    <row r="203" spans="1:11" x14ac:dyDescent="0.35">
      <c r="A203" t="s">
        <v>1314</v>
      </c>
      <c r="B203" t="s">
        <v>1315</v>
      </c>
      <c r="C203">
        <v>9.76</v>
      </c>
      <c r="D203">
        <v>1.11E-2</v>
      </c>
      <c r="E203">
        <v>4850979</v>
      </c>
      <c r="F203">
        <v>402549</v>
      </c>
      <c r="G203" t="s">
        <v>1320</v>
      </c>
      <c r="H203">
        <v>496540</v>
      </c>
      <c r="I203">
        <f>Table_Cleaned_Data[[#This Row],[Volume (24h) USD]]/Table_Cleaned_Data[[#This Row],[Circulating_Supply($)]]</f>
        <v>0.81070810005236238</v>
      </c>
      <c r="J203">
        <f>RANK(Table_Cleaned_Data[[#This Row],[Market Cap]],Table_Cleaned_Data[Market Cap],0)</f>
        <v>202</v>
      </c>
      <c r="K203" t="str">
        <f t="shared" si="3"/>
        <v>2–10</v>
      </c>
    </row>
    <row r="204" spans="1:11" x14ac:dyDescent="0.35">
      <c r="A204" t="s">
        <v>1321</v>
      </c>
      <c r="B204" t="s">
        <v>1322</v>
      </c>
      <c r="C204">
        <v>2.1299999999999999E-2</v>
      </c>
      <c r="D204">
        <v>1.0200000000000001E-2</v>
      </c>
      <c r="E204">
        <v>4842635</v>
      </c>
      <c r="F204">
        <v>2328961</v>
      </c>
      <c r="G204" t="s">
        <v>1326</v>
      </c>
      <c r="H204">
        <v>226870000</v>
      </c>
      <c r="I204">
        <f>Table_Cleaned_Data[[#This Row],[Volume (24h) USD]]/Table_Cleaned_Data[[#This Row],[Circulating_Supply($)]]</f>
        <v>1.0265619077004452E-2</v>
      </c>
      <c r="J204">
        <f>RANK(Table_Cleaned_Data[[#This Row],[Market Cap]],Table_Cleaned_Data[Market Cap],0)</f>
        <v>203</v>
      </c>
      <c r="K204" t="str">
        <f t="shared" si="3"/>
        <v>0–0.5</v>
      </c>
    </row>
    <row r="205" spans="1:11" x14ac:dyDescent="0.35">
      <c r="A205" t="s">
        <v>1327</v>
      </c>
      <c r="B205" t="s">
        <v>1328</v>
      </c>
      <c r="C205">
        <v>1.6199999999999999E-2</v>
      </c>
      <c r="D205">
        <v>3.8E-3</v>
      </c>
      <c r="E205">
        <v>4836273</v>
      </c>
      <c r="F205">
        <v>121289</v>
      </c>
      <c r="G205" t="s">
        <v>1333</v>
      </c>
      <c r="H205">
        <v>298250000</v>
      </c>
      <c r="I205">
        <f>Table_Cleaned_Data[[#This Row],[Volume (24h) USD]]/Table_Cleaned_Data[[#This Row],[Circulating_Supply($)]]</f>
        <v>4.0666890192791284E-4</v>
      </c>
      <c r="J205">
        <f>RANK(Table_Cleaned_Data[[#This Row],[Market Cap]],Table_Cleaned_Data[Market Cap],0)</f>
        <v>204</v>
      </c>
      <c r="K205" t="str">
        <f t="shared" si="3"/>
        <v>0–0.5</v>
      </c>
    </row>
    <row r="206" spans="1:11" x14ac:dyDescent="0.35">
      <c r="A206" t="s">
        <v>1334</v>
      </c>
      <c r="B206" t="s">
        <v>1335</v>
      </c>
      <c r="C206">
        <v>8.0000000000000004E-4</v>
      </c>
      <c r="D206">
        <v>1E-4</v>
      </c>
      <c r="E206">
        <v>4098858</v>
      </c>
      <c r="F206">
        <v>51766</v>
      </c>
      <c r="G206" t="s">
        <v>1339</v>
      </c>
      <c r="H206">
        <v>5090000000</v>
      </c>
      <c r="I206">
        <f>Table_Cleaned_Data[[#This Row],[Volume (24h) USD]]/Table_Cleaned_Data[[#This Row],[Circulating_Supply($)]]</f>
        <v>1.0170137524557957E-5</v>
      </c>
      <c r="J206">
        <f>RANK(Table_Cleaned_Data[[#This Row],[Market Cap]],Table_Cleaned_Data[Market Cap],0)</f>
        <v>205</v>
      </c>
      <c r="K206" t="str">
        <f t="shared" si="3"/>
        <v>0–0.5</v>
      </c>
    </row>
    <row r="207" spans="1:11" x14ac:dyDescent="0.35">
      <c r="A207" t="s">
        <v>1340</v>
      </c>
      <c r="B207" t="s">
        <v>1341</v>
      </c>
      <c r="C207">
        <v>0.47410000000000002</v>
      </c>
      <c r="D207">
        <v>1.24E-2</v>
      </c>
      <c r="E207">
        <v>4092301</v>
      </c>
      <c r="F207">
        <v>498045</v>
      </c>
      <c r="G207" t="s">
        <v>1346</v>
      </c>
      <c r="H207">
        <v>8620000</v>
      </c>
      <c r="I207">
        <f>Table_Cleaned_Data[[#This Row],[Volume (24h) USD]]/Table_Cleaned_Data[[#This Row],[Circulating_Supply($)]]</f>
        <v>5.7777842227378189E-2</v>
      </c>
      <c r="J207">
        <f>RANK(Table_Cleaned_Data[[#This Row],[Market Cap]],Table_Cleaned_Data[Market Cap],0)</f>
        <v>206</v>
      </c>
      <c r="K207" t="str">
        <f t="shared" si="3"/>
        <v>0–0.5</v>
      </c>
    </row>
    <row r="208" spans="1:11" x14ac:dyDescent="0.35">
      <c r="A208" t="s">
        <v>1347</v>
      </c>
      <c r="B208" t="s">
        <v>1348</v>
      </c>
      <c r="C208">
        <v>0.40710000000000002</v>
      </c>
      <c r="D208">
        <v>4.0000000000000002E-4</v>
      </c>
      <c r="E208">
        <v>4071360</v>
      </c>
      <c r="F208">
        <v>58006</v>
      </c>
      <c r="G208" t="s">
        <v>1352</v>
      </c>
      <c r="H208">
        <v>9990000</v>
      </c>
      <c r="I208">
        <f>Table_Cleaned_Data[[#This Row],[Volume (24h) USD]]/Table_Cleaned_Data[[#This Row],[Circulating_Supply($)]]</f>
        <v>5.806406406406406E-3</v>
      </c>
      <c r="J208">
        <f>RANK(Table_Cleaned_Data[[#This Row],[Market Cap]],Table_Cleaned_Data[Market Cap],0)</f>
        <v>207</v>
      </c>
      <c r="K208" t="str">
        <f t="shared" si="3"/>
        <v>0–0.5</v>
      </c>
    </row>
    <row r="209" spans="1:11" x14ac:dyDescent="0.35">
      <c r="A209" t="s">
        <v>1353</v>
      </c>
      <c r="B209" t="s">
        <v>1354</v>
      </c>
      <c r="C209">
        <v>1</v>
      </c>
      <c r="D209">
        <v>5.0000000000000001E-4</v>
      </c>
      <c r="E209">
        <v>4059423</v>
      </c>
      <c r="F209">
        <v>993206</v>
      </c>
      <c r="G209" t="s">
        <v>1357</v>
      </c>
      <c r="H209">
        <v>4050000</v>
      </c>
      <c r="I209">
        <f>Table_Cleaned_Data[[#This Row],[Volume (24h) USD]]/Table_Cleaned_Data[[#This Row],[Circulating_Supply($)]]</f>
        <v>0.24523604938271604</v>
      </c>
      <c r="J209">
        <f>RANK(Table_Cleaned_Data[[#This Row],[Market Cap]],Table_Cleaned_Data[Market Cap],0)</f>
        <v>208</v>
      </c>
      <c r="K209" t="str">
        <f t="shared" si="3"/>
        <v>0.5–1</v>
      </c>
    </row>
    <row r="210" spans="1:11" x14ac:dyDescent="0.35">
      <c r="A210" t="s">
        <v>1358</v>
      </c>
      <c r="B210" t="s">
        <v>1359</v>
      </c>
      <c r="C210">
        <v>8.5000000000000006E-3</v>
      </c>
      <c r="D210">
        <v>1.04E-2</v>
      </c>
      <c r="E210">
        <v>4056290</v>
      </c>
      <c r="F210">
        <v>452151</v>
      </c>
      <c r="G210" t="s">
        <v>1362</v>
      </c>
      <c r="H210">
        <v>479620000</v>
      </c>
      <c r="I210">
        <f>Table_Cleaned_Data[[#This Row],[Volume (24h) USD]]/Table_Cleaned_Data[[#This Row],[Circulating_Supply($)]]</f>
        <v>9.427275759976648E-4</v>
      </c>
      <c r="J210">
        <f>RANK(Table_Cleaned_Data[[#This Row],[Market Cap]],Table_Cleaned_Data[Market Cap],0)</f>
        <v>209</v>
      </c>
      <c r="K210" t="str">
        <f t="shared" si="3"/>
        <v>0–0.5</v>
      </c>
    </row>
    <row r="211" spans="1:11" x14ac:dyDescent="0.35">
      <c r="A211" t="s">
        <v>1363</v>
      </c>
      <c r="B211" t="s">
        <v>1364</v>
      </c>
      <c r="C211">
        <v>0.20180000000000001</v>
      </c>
      <c r="D211">
        <v>1.7100000000000001E-2</v>
      </c>
      <c r="E211">
        <v>4044070</v>
      </c>
      <c r="F211">
        <v>86399</v>
      </c>
      <c r="G211" t="s">
        <v>1369</v>
      </c>
      <c r="H211">
        <v>20030000</v>
      </c>
      <c r="I211">
        <f>Table_Cleaned_Data[[#This Row],[Volume (24h) USD]]/Table_Cleaned_Data[[#This Row],[Circulating_Supply($)]]</f>
        <v>4.3134797803295061E-3</v>
      </c>
      <c r="J211">
        <f>RANK(Table_Cleaned_Data[[#This Row],[Market Cap]],Table_Cleaned_Data[Market Cap],0)</f>
        <v>210</v>
      </c>
      <c r="K211" t="str">
        <f t="shared" si="3"/>
        <v>0–0.5</v>
      </c>
    </row>
    <row r="212" spans="1:11" x14ac:dyDescent="0.35">
      <c r="A212" t="s">
        <v>1370</v>
      </c>
      <c r="B212" t="s">
        <v>1371</v>
      </c>
      <c r="C212">
        <v>1.21E-2</v>
      </c>
      <c r="D212">
        <v>8.2000000000000007E-3</v>
      </c>
      <c r="E212">
        <v>4032882</v>
      </c>
      <c r="F212">
        <v>2124270</v>
      </c>
      <c r="G212" t="s">
        <v>1376</v>
      </c>
      <c r="H212">
        <v>334170000</v>
      </c>
      <c r="I212">
        <f>Table_Cleaned_Data[[#This Row],[Volume (24h) USD]]/Table_Cleaned_Data[[#This Row],[Circulating_Supply($)]]</f>
        <v>6.3568542957177484E-3</v>
      </c>
      <c r="J212">
        <f>RANK(Table_Cleaned_Data[[#This Row],[Market Cap]],Table_Cleaned_Data[Market Cap],0)</f>
        <v>211</v>
      </c>
      <c r="K212" t="str">
        <f t="shared" si="3"/>
        <v>0–0.5</v>
      </c>
    </row>
    <row r="213" spans="1:11" x14ac:dyDescent="0.35">
      <c r="A213" t="s">
        <v>1377</v>
      </c>
      <c r="B213" t="s">
        <v>1378</v>
      </c>
      <c r="C213">
        <v>7.1800000000000003E-2</v>
      </c>
      <c r="D213">
        <v>1E-4</v>
      </c>
      <c r="E213">
        <v>4025739</v>
      </c>
      <c r="F213">
        <v>299678</v>
      </c>
      <c r="G213" t="s">
        <v>1382</v>
      </c>
      <c r="H213">
        <v>227990000000000</v>
      </c>
      <c r="I213">
        <f>Table_Cleaned_Data[[#This Row],[Volume (24h) USD]]/Table_Cleaned_Data[[#This Row],[Circulating_Supply($)]]</f>
        <v>1.3144348436334926E-9</v>
      </c>
      <c r="J213">
        <f>RANK(Table_Cleaned_Data[[#This Row],[Market Cap]],Table_Cleaned_Data[Market Cap],0)</f>
        <v>212</v>
      </c>
      <c r="K213" t="str">
        <f t="shared" si="3"/>
        <v>0–0.5</v>
      </c>
    </row>
    <row r="214" spans="1:11" x14ac:dyDescent="0.35">
      <c r="A214" t="s">
        <v>1383</v>
      </c>
      <c r="B214" t="s">
        <v>1384</v>
      </c>
      <c r="C214">
        <v>8.9999999999999998E-4</v>
      </c>
      <c r="D214">
        <v>2.9999999999999997E-4</v>
      </c>
      <c r="E214">
        <v>4013522</v>
      </c>
      <c r="F214">
        <v>412636</v>
      </c>
      <c r="G214" t="s">
        <v>1388</v>
      </c>
      <c r="H214">
        <v>4480000000</v>
      </c>
      <c r="I214">
        <f>Table_Cleaned_Data[[#This Row],[Volume (24h) USD]]/Table_Cleaned_Data[[#This Row],[Circulating_Supply($)]]</f>
        <v>9.2106250000000006E-5</v>
      </c>
      <c r="J214">
        <f>RANK(Table_Cleaned_Data[[#This Row],[Market Cap]],Table_Cleaned_Data[Market Cap],0)</f>
        <v>213</v>
      </c>
      <c r="K214" t="str">
        <f t="shared" si="3"/>
        <v>0–0.5</v>
      </c>
    </row>
    <row r="215" spans="1:11" x14ac:dyDescent="0.35">
      <c r="A215" t="s">
        <v>1389</v>
      </c>
      <c r="B215" t="s">
        <v>1390</v>
      </c>
      <c r="C215">
        <v>4.5999999999999999E-3</v>
      </c>
      <c r="D215">
        <v>1E-4</v>
      </c>
      <c r="E215">
        <v>4002278</v>
      </c>
      <c r="F215">
        <v>1088864</v>
      </c>
      <c r="G215" t="s">
        <v>1394</v>
      </c>
      <c r="H215">
        <v>878820000</v>
      </c>
      <c r="I215">
        <f>Table_Cleaned_Data[[#This Row],[Volume (24h) USD]]/Table_Cleaned_Data[[#This Row],[Circulating_Supply($)]]</f>
        <v>1.2390068500944449E-3</v>
      </c>
      <c r="J215">
        <f>RANK(Table_Cleaned_Data[[#This Row],[Market Cap]],Table_Cleaned_Data[Market Cap],0)</f>
        <v>214</v>
      </c>
      <c r="K215" t="str">
        <f t="shared" si="3"/>
        <v>0–0.5</v>
      </c>
    </row>
    <row r="216" spans="1:11" x14ac:dyDescent="0.35">
      <c r="A216" t="s">
        <v>1395</v>
      </c>
      <c r="B216" t="s">
        <v>1396</v>
      </c>
      <c r="C216">
        <v>8.0000000000000004E-4</v>
      </c>
      <c r="D216">
        <v>1.1000000000000001E-3</v>
      </c>
      <c r="E216">
        <v>4001721</v>
      </c>
      <c r="F216">
        <v>8904</v>
      </c>
      <c r="G216" t="s">
        <v>1400</v>
      </c>
      <c r="H216">
        <v>4770000000</v>
      </c>
      <c r="I216">
        <f>Table_Cleaned_Data[[#This Row],[Volume (24h) USD]]/Table_Cleaned_Data[[#This Row],[Circulating_Supply($)]]</f>
        <v>1.8666666666666667E-6</v>
      </c>
      <c r="J216">
        <f>RANK(Table_Cleaned_Data[[#This Row],[Market Cap]],Table_Cleaned_Data[Market Cap],0)</f>
        <v>215</v>
      </c>
      <c r="K216" t="str">
        <f t="shared" si="3"/>
        <v>0–0.5</v>
      </c>
    </row>
    <row r="217" spans="1:11" x14ac:dyDescent="0.35">
      <c r="A217" t="s">
        <v>1405</v>
      </c>
      <c r="B217" t="s">
        <v>1406</v>
      </c>
      <c r="C217">
        <v>6.5100000000000005E-2</v>
      </c>
      <c r="D217">
        <v>1E-4</v>
      </c>
      <c r="E217">
        <v>3991078</v>
      </c>
      <c r="F217">
        <v>1801552</v>
      </c>
      <c r="G217" t="s">
        <v>1410</v>
      </c>
      <c r="H217">
        <v>61270000</v>
      </c>
      <c r="I217">
        <f>Table_Cleaned_Data[[#This Row],[Volume (24h) USD]]/Table_Cleaned_Data[[#This Row],[Circulating_Supply($)]]</f>
        <v>2.9403492737065447E-2</v>
      </c>
      <c r="J217">
        <f>RANK(Table_Cleaned_Data[[#This Row],[Market Cap]],Table_Cleaned_Data[Market Cap],0)</f>
        <v>216</v>
      </c>
      <c r="K217" t="str">
        <f t="shared" si="3"/>
        <v>0–0.5</v>
      </c>
    </row>
    <row r="218" spans="1:11" x14ac:dyDescent="0.35">
      <c r="A218" t="s">
        <v>1411</v>
      </c>
      <c r="B218" t="s">
        <v>1412</v>
      </c>
      <c r="C218">
        <v>6.3600000000000004E-2</v>
      </c>
      <c r="D218">
        <v>3.5999999999999999E-3</v>
      </c>
      <c r="E218">
        <v>3988311</v>
      </c>
      <c r="F218">
        <v>154139</v>
      </c>
      <c r="G218" t="s">
        <v>1416</v>
      </c>
      <c r="H218">
        <v>11170000000000</v>
      </c>
      <c r="I218">
        <f>Table_Cleaned_Data[[#This Row],[Volume (24h) USD]]/Table_Cleaned_Data[[#This Row],[Circulating_Supply($)]]</f>
        <v>1.3799373321396598E-8</v>
      </c>
      <c r="J218">
        <f>RANK(Table_Cleaned_Data[[#This Row],[Market Cap]],Table_Cleaned_Data[Market Cap],0)</f>
        <v>217</v>
      </c>
      <c r="K218" t="str">
        <f t="shared" si="3"/>
        <v>0–0.5</v>
      </c>
    </row>
    <row r="219" spans="1:11" x14ac:dyDescent="0.35">
      <c r="A219" t="s">
        <v>1417</v>
      </c>
      <c r="B219" t="s">
        <v>1418</v>
      </c>
      <c r="C219">
        <v>136.32</v>
      </c>
      <c r="D219">
        <v>4.0000000000000002E-4</v>
      </c>
      <c r="E219">
        <v>3967175</v>
      </c>
      <c r="F219">
        <v>65166</v>
      </c>
      <c r="G219" t="s">
        <v>1422</v>
      </c>
      <c r="H219">
        <v>29100</v>
      </c>
      <c r="I219">
        <f>Table_Cleaned_Data[[#This Row],[Volume (24h) USD]]/Table_Cleaned_Data[[#This Row],[Circulating_Supply($)]]</f>
        <v>2.2393814432989689</v>
      </c>
      <c r="J219">
        <f>RANK(Table_Cleaned_Data[[#This Row],[Market Cap]],Table_Cleaned_Data[Market Cap],0)</f>
        <v>218</v>
      </c>
      <c r="K219" t="str">
        <f t="shared" si="3"/>
        <v>100–1000</v>
      </c>
    </row>
    <row r="220" spans="1:11" x14ac:dyDescent="0.35">
      <c r="A220" t="s">
        <v>1423</v>
      </c>
      <c r="B220" t="s">
        <v>1424</v>
      </c>
      <c r="C220">
        <v>3.2000000000000002E-3</v>
      </c>
      <c r="D220">
        <v>9.9000000000000008E-3</v>
      </c>
      <c r="E220">
        <v>3190030</v>
      </c>
      <c r="F220">
        <v>129109</v>
      </c>
      <c r="G220" t="s">
        <v>597</v>
      </c>
      <c r="H220">
        <v>1000000000</v>
      </c>
      <c r="I220">
        <f>Table_Cleaned_Data[[#This Row],[Volume (24h) USD]]/Table_Cleaned_Data[[#This Row],[Circulating_Supply($)]]</f>
        <v>1.29109E-4</v>
      </c>
      <c r="J220">
        <f>RANK(Table_Cleaned_Data[[#This Row],[Market Cap]],Table_Cleaned_Data[Market Cap],0)</f>
        <v>219</v>
      </c>
      <c r="K220" t="str">
        <f t="shared" si="3"/>
        <v>0–0.5</v>
      </c>
    </row>
    <row r="221" spans="1:11" x14ac:dyDescent="0.35">
      <c r="A221" t="s">
        <v>1428</v>
      </c>
      <c r="B221" t="s">
        <v>1429</v>
      </c>
      <c r="C221">
        <v>1.1000000000000001E-3</v>
      </c>
      <c r="D221">
        <v>1.8E-3</v>
      </c>
      <c r="E221">
        <v>3187133</v>
      </c>
      <c r="F221">
        <v>82112</v>
      </c>
      <c r="G221" t="s">
        <v>1433</v>
      </c>
      <c r="H221">
        <v>2990000000</v>
      </c>
      <c r="I221">
        <f>Table_Cleaned_Data[[#This Row],[Volume (24h) USD]]/Table_Cleaned_Data[[#This Row],[Circulating_Supply($)]]</f>
        <v>2.7462207357859533E-5</v>
      </c>
      <c r="J221">
        <f>RANK(Table_Cleaned_Data[[#This Row],[Market Cap]],Table_Cleaned_Data[Market Cap],0)</f>
        <v>220</v>
      </c>
      <c r="K221" t="str">
        <f t="shared" si="3"/>
        <v>0–0.5</v>
      </c>
    </row>
    <row r="222" spans="1:11" x14ac:dyDescent="0.35">
      <c r="A222" t="s">
        <v>1434</v>
      </c>
      <c r="B222" t="s">
        <v>1435</v>
      </c>
      <c r="C222">
        <v>6.4000000000000003E-3</v>
      </c>
      <c r="D222">
        <v>9.4000000000000004E-3</v>
      </c>
      <c r="E222">
        <v>3186414</v>
      </c>
      <c r="F222">
        <v>222576</v>
      </c>
      <c r="G222" t="s">
        <v>1439</v>
      </c>
      <c r="H222">
        <v>499710000</v>
      </c>
      <c r="I222">
        <f>Table_Cleaned_Data[[#This Row],[Volume (24h) USD]]/Table_Cleaned_Data[[#This Row],[Circulating_Supply($)]]</f>
        <v>4.4541033799603771E-4</v>
      </c>
      <c r="J222">
        <f>RANK(Table_Cleaned_Data[[#This Row],[Market Cap]],Table_Cleaned_Data[Market Cap],0)</f>
        <v>221</v>
      </c>
      <c r="K222" t="str">
        <f t="shared" si="3"/>
        <v>0–0.5</v>
      </c>
    </row>
    <row r="223" spans="1:11" x14ac:dyDescent="0.35">
      <c r="A223" t="s">
        <v>1440</v>
      </c>
      <c r="B223" t="s">
        <v>67</v>
      </c>
      <c r="C223">
        <v>3.3E-3</v>
      </c>
      <c r="D223">
        <v>5.9999999999999995E-4</v>
      </c>
      <c r="E223">
        <v>3184110</v>
      </c>
      <c r="F223">
        <v>1041133</v>
      </c>
      <c r="G223" t="s">
        <v>1444</v>
      </c>
      <c r="H223">
        <v>979120000</v>
      </c>
      <c r="I223">
        <f>Table_Cleaned_Data[[#This Row],[Volume (24h) USD]]/Table_Cleaned_Data[[#This Row],[Circulating_Supply($)]]</f>
        <v>1.0633354440722281E-3</v>
      </c>
      <c r="J223">
        <f>RANK(Table_Cleaned_Data[[#This Row],[Market Cap]],Table_Cleaned_Data[Market Cap],0)</f>
        <v>222</v>
      </c>
      <c r="K223" t="str">
        <f t="shared" si="3"/>
        <v>0–0.5</v>
      </c>
    </row>
    <row r="224" spans="1:11" x14ac:dyDescent="0.35">
      <c r="A224" t="s">
        <v>1445</v>
      </c>
      <c r="B224" t="s">
        <v>1445</v>
      </c>
      <c r="C224">
        <v>3.9199999999999999E-2</v>
      </c>
      <c r="D224">
        <v>6.3E-3</v>
      </c>
      <c r="E224">
        <v>3170980</v>
      </c>
      <c r="F224">
        <v>364959</v>
      </c>
      <c r="G224" t="s">
        <v>1450</v>
      </c>
      <c r="H224">
        <v>80910000</v>
      </c>
      <c r="I224">
        <f>Table_Cleaned_Data[[#This Row],[Volume (24h) USD]]/Table_Cleaned_Data[[#This Row],[Circulating_Supply($)]]</f>
        <v>4.5106785317018906E-3</v>
      </c>
      <c r="J224">
        <f>RANK(Table_Cleaned_Data[[#This Row],[Market Cap]],Table_Cleaned_Data[Market Cap],0)</f>
        <v>223</v>
      </c>
      <c r="K224" t="str">
        <f t="shared" si="3"/>
        <v>0–0.5</v>
      </c>
    </row>
    <row r="225" spans="1:11" x14ac:dyDescent="0.35">
      <c r="A225" t="s">
        <v>1451</v>
      </c>
      <c r="B225" t="s">
        <v>1452</v>
      </c>
      <c r="C225">
        <v>2.5000000000000001E-3</v>
      </c>
      <c r="D225">
        <v>6.4000000000000003E-3</v>
      </c>
      <c r="E225">
        <v>3169190</v>
      </c>
      <c r="F225">
        <v>333463</v>
      </c>
      <c r="G225" t="s">
        <v>1456</v>
      </c>
      <c r="H225">
        <v>1260000000</v>
      </c>
      <c r="I225">
        <f>Table_Cleaned_Data[[#This Row],[Volume (24h) USD]]/Table_Cleaned_Data[[#This Row],[Circulating_Supply($)]]</f>
        <v>2.6465317460317459E-4</v>
      </c>
      <c r="J225">
        <f>RANK(Table_Cleaned_Data[[#This Row],[Market Cap]],Table_Cleaned_Data[Market Cap],0)</f>
        <v>224</v>
      </c>
      <c r="K225" t="str">
        <f t="shared" si="3"/>
        <v>0–0.5</v>
      </c>
    </row>
    <row r="226" spans="1:11" x14ac:dyDescent="0.35">
      <c r="A226" t="s">
        <v>1457</v>
      </c>
      <c r="B226" t="s">
        <v>1458</v>
      </c>
      <c r="C226">
        <v>6.3700000000000007E-2</v>
      </c>
      <c r="D226">
        <v>7.0000000000000001E-3</v>
      </c>
      <c r="E226">
        <v>3168439</v>
      </c>
      <c r="F226">
        <v>189452</v>
      </c>
      <c r="G226" t="s">
        <v>1462</v>
      </c>
      <c r="H226">
        <v>8500000000000</v>
      </c>
      <c r="I226">
        <f>Table_Cleaned_Data[[#This Row],[Volume (24h) USD]]/Table_Cleaned_Data[[#This Row],[Circulating_Supply($)]]</f>
        <v>2.2288470588235293E-8</v>
      </c>
      <c r="J226">
        <f>RANK(Table_Cleaned_Data[[#This Row],[Market Cap]],Table_Cleaned_Data[Market Cap],0)</f>
        <v>225</v>
      </c>
      <c r="K226" t="str">
        <f t="shared" si="3"/>
        <v>0–0.5</v>
      </c>
    </row>
    <row r="227" spans="1:11" x14ac:dyDescent="0.35">
      <c r="A227" t="s">
        <v>1463</v>
      </c>
      <c r="B227" t="s">
        <v>1464</v>
      </c>
      <c r="C227">
        <v>0.1105</v>
      </c>
      <c r="D227">
        <v>0.03</v>
      </c>
      <c r="E227">
        <v>3161989</v>
      </c>
      <c r="F227">
        <v>619781</v>
      </c>
      <c r="G227" t="s">
        <v>1469</v>
      </c>
      <c r="H227">
        <v>28590000</v>
      </c>
      <c r="I227">
        <f>Table_Cleaned_Data[[#This Row],[Volume (24h) USD]]/Table_Cleaned_Data[[#This Row],[Circulating_Supply($)]]</f>
        <v>2.1678244141308149E-2</v>
      </c>
      <c r="J227">
        <f>RANK(Table_Cleaned_Data[[#This Row],[Market Cap]],Table_Cleaned_Data[Market Cap],0)</f>
        <v>226</v>
      </c>
      <c r="K227" t="str">
        <f t="shared" si="3"/>
        <v>0–0.5</v>
      </c>
    </row>
    <row r="228" spans="1:11" x14ac:dyDescent="0.35">
      <c r="A228" t="s">
        <v>1470</v>
      </c>
      <c r="B228" t="s">
        <v>1471</v>
      </c>
      <c r="C228">
        <v>3.1600000000000003E-2</v>
      </c>
      <c r="D228">
        <v>1.1999999999999999E-3</v>
      </c>
      <c r="E228">
        <v>3161988</v>
      </c>
      <c r="F228">
        <v>70474</v>
      </c>
      <c r="G228" t="s">
        <v>898</v>
      </c>
      <c r="H228">
        <v>100000000</v>
      </c>
      <c r="I228">
        <f>Table_Cleaned_Data[[#This Row],[Volume (24h) USD]]/Table_Cleaned_Data[[#This Row],[Circulating_Supply($)]]</f>
        <v>7.0474000000000003E-4</v>
      </c>
      <c r="J228">
        <f>RANK(Table_Cleaned_Data[[#This Row],[Market Cap]],Table_Cleaned_Data[Market Cap],0)</f>
        <v>227</v>
      </c>
      <c r="K228" t="str">
        <f t="shared" si="3"/>
        <v>0–0.5</v>
      </c>
    </row>
    <row r="229" spans="1:11" x14ac:dyDescent="0.35">
      <c r="A229" t="s">
        <v>1475</v>
      </c>
      <c r="B229" t="s">
        <v>1476</v>
      </c>
      <c r="C229">
        <v>1.5699999999999999E-2</v>
      </c>
      <c r="D229">
        <v>5.3E-3</v>
      </c>
      <c r="E229">
        <v>3145553</v>
      </c>
      <c r="F229">
        <v>3337405</v>
      </c>
      <c r="G229" t="s">
        <v>1480</v>
      </c>
      <c r="H229">
        <v>200000000</v>
      </c>
      <c r="I229">
        <f>Table_Cleaned_Data[[#This Row],[Volume (24h) USD]]/Table_Cleaned_Data[[#This Row],[Circulating_Supply($)]]</f>
        <v>1.6687025000000001E-2</v>
      </c>
      <c r="J229">
        <f>RANK(Table_Cleaned_Data[[#This Row],[Market Cap]],Table_Cleaned_Data[Market Cap],0)</f>
        <v>228</v>
      </c>
      <c r="K229" t="str">
        <f t="shared" si="3"/>
        <v>0–0.5</v>
      </c>
    </row>
    <row r="230" spans="1:11" x14ac:dyDescent="0.35">
      <c r="A230" t="s">
        <v>1481</v>
      </c>
      <c r="B230" t="s">
        <v>1482</v>
      </c>
      <c r="C230">
        <v>5.0000000000000001E-4</v>
      </c>
      <c r="D230">
        <v>1.8E-3</v>
      </c>
      <c r="E230">
        <v>3144141</v>
      </c>
      <c r="F230">
        <v>322501</v>
      </c>
      <c r="G230" t="s">
        <v>1486</v>
      </c>
      <c r="H230">
        <v>6310000000</v>
      </c>
      <c r="I230">
        <f>Table_Cleaned_Data[[#This Row],[Volume (24h) USD]]/Table_Cleaned_Data[[#This Row],[Circulating_Supply($)]]</f>
        <v>5.11095087163233E-5</v>
      </c>
      <c r="J230">
        <f>RANK(Table_Cleaned_Data[[#This Row],[Market Cap]],Table_Cleaned_Data[Market Cap],0)</f>
        <v>229</v>
      </c>
      <c r="K230" t="str">
        <f t="shared" si="3"/>
        <v>0–0.5</v>
      </c>
    </row>
    <row r="231" spans="1:11" x14ac:dyDescent="0.35">
      <c r="A231" t="s">
        <v>1487</v>
      </c>
      <c r="B231" t="s">
        <v>1487</v>
      </c>
      <c r="C231">
        <v>8.0000000000000004E-4</v>
      </c>
      <c r="D231">
        <v>2.5100000000000001E-2</v>
      </c>
      <c r="E231">
        <v>3136583</v>
      </c>
      <c r="F231">
        <v>211641</v>
      </c>
      <c r="G231" t="s">
        <v>1492</v>
      </c>
      <c r="H231">
        <v>3970000000</v>
      </c>
      <c r="I231">
        <f>Table_Cleaned_Data[[#This Row],[Volume (24h) USD]]/Table_Cleaned_Data[[#This Row],[Circulating_Supply($)]]</f>
        <v>5.3310075566750627E-5</v>
      </c>
      <c r="J231">
        <f>RANK(Table_Cleaned_Data[[#This Row],[Market Cap]],Table_Cleaned_Data[Market Cap],0)</f>
        <v>230</v>
      </c>
      <c r="K231" t="str">
        <f t="shared" si="3"/>
        <v>0–0.5</v>
      </c>
    </row>
    <row r="232" spans="1:11" x14ac:dyDescent="0.35">
      <c r="A232" t="s">
        <v>1493</v>
      </c>
      <c r="B232" t="s">
        <v>1493</v>
      </c>
      <c r="C232">
        <v>3.0999999999999999E-3</v>
      </c>
      <c r="D232">
        <v>3.5999999999999999E-3</v>
      </c>
      <c r="E232">
        <v>3128134</v>
      </c>
      <c r="F232">
        <v>29337</v>
      </c>
      <c r="G232" t="s">
        <v>1497</v>
      </c>
      <c r="H232">
        <v>993340000</v>
      </c>
      <c r="I232">
        <f>Table_Cleaned_Data[[#This Row],[Volume (24h) USD]]/Table_Cleaned_Data[[#This Row],[Circulating_Supply($)]]</f>
        <v>2.9533694404735539E-5</v>
      </c>
      <c r="J232">
        <f>RANK(Table_Cleaned_Data[[#This Row],[Market Cap]],Table_Cleaned_Data[Market Cap],0)</f>
        <v>231</v>
      </c>
      <c r="K232" t="str">
        <f t="shared" si="3"/>
        <v>0–0.5</v>
      </c>
    </row>
    <row r="233" spans="1:11" x14ac:dyDescent="0.35">
      <c r="A233" t="s">
        <v>1498</v>
      </c>
      <c r="B233" t="s">
        <v>1499</v>
      </c>
      <c r="C233">
        <v>6.3799999999999996E-2</v>
      </c>
      <c r="D233">
        <v>2.2000000000000001E-3</v>
      </c>
      <c r="E233">
        <v>3113946</v>
      </c>
      <c r="F233">
        <v>63368</v>
      </c>
      <c r="G233" t="s">
        <v>1504</v>
      </c>
      <c r="H233">
        <v>48790000</v>
      </c>
      <c r="I233">
        <f>Table_Cleaned_Data[[#This Row],[Volume (24h) USD]]/Table_Cleaned_Data[[#This Row],[Circulating_Supply($)]]</f>
        <v>1.2987907358065177E-3</v>
      </c>
      <c r="J233">
        <f>RANK(Table_Cleaned_Data[[#This Row],[Market Cap]],Table_Cleaned_Data[Market Cap],0)</f>
        <v>232</v>
      </c>
      <c r="K233" t="str">
        <f t="shared" si="3"/>
        <v>0–0.5</v>
      </c>
    </row>
    <row r="234" spans="1:11" x14ac:dyDescent="0.35">
      <c r="A234" t="s">
        <v>1505</v>
      </c>
      <c r="B234" t="s">
        <v>1506</v>
      </c>
      <c r="C234">
        <v>3.8E-3</v>
      </c>
      <c r="D234">
        <v>0</v>
      </c>
      <c r="E234">
        <v>3112337</v>
      </c>
      <c r="F234">
        <v>46064</v>
      </c>
      <c r="G234" t="s">
        <v>1510</v>
      </c>
      <c r="H234">
        <v>818880000</v>
      </c>
      <c r="I234">
        <f>Table_Cleaned_Data[[#This Row],[Volume (24h) USD]]/Table_Cleaned_Data[[#This Row],[Circulating_Supply($)]]</f>
        <v>5.6252442360296989E-5</v>
      </c>
      <c r="J234">
        <f>RANK(Table_Cleaned_Data[[#This Row],[Market Cap]],Table_Cleaned_Data[Market Cap],0)</f>
        <v>233</v>
      </c>
      <c r="K234" t="str">
        <f t="shared" si="3"/>
        <v>0–0.5</v>
      </c>
    </row>
    <row r="235" spans="1:11" x14ac:dyDescent="0.35">
      <c r="A235" t="s">
        <v>1511</v>
      </c>
      <c r="B235" t="s">
        <v>1512</v>
      </c>
      <c r="C235">
        <v>3.3999999999999998E-3</v>
      </c>
      <c r="D235">
        <v>3.0999999999999999E-3</v>
      </c>
      <c r="E235">
        <v>2624600</v>
      </c>
      <c r="F235">
        <v>272948</v>
      </c>
      <c r="G235" t="s">
        <v>1516</v>
      </c>
      <c r="H235">
        <v>769060000</v>
      </c>
      <c r="I235">
        <f>Table_Cleaned_Data[[#This Row],[Volume (24h) USD]]/Table_Cleaned_Data[[#This Row],[Circulating_Supply($)]]</f>
        <v>3.5491119028424308E-4</v>
      </c>
      <c r="J235">
        <f>RANK(Table_Cleaned_Data[[#This Row],[Market Cap]],Table_Cleaned_Data[Market Cap],0)</f>
        <v>234</v>
      </c>
      <c r="K235" t="str">
        <f t="shared" si="3"/>
        <v>0–0.5</v>
      </c>
    </row>
    <row r="236" spans="1:11" x14ac:dyDescent="0.35">
      <c r="A236" t="s">
        <v>1517</v>
      </c>
      <c r="B236" t="s">
        <v>1518</v>
      </c>
      <c r="C236">
        <v>145.96</v>
      </c>
      <c r="D236">
        <v>2.2000000000000001E-3</v>
      </c>
      <c r="E236">
        <v>2618272</v>
      </c>
      <c r="F236">
        <v>32169</v>
      </c>
      <c r="G236" t="s">
        <v>1522</v>
      </c>
      <c r="H236">
        <v>17930</v>
      </c>
      <c r="I236">
        <f>Table_Cleaned_Data[[#This Row],[Volume (24h) USD]]/Table_Cleaned_Data[[#This Row],[Circulating_Supply($)]]</f>
        <v>1.7941438929168991</v>
      </c>
      <c r="J236">
        <f>RANK(Table_Cleaned_Data[[#This Row],[Market Cap]],Table_Cleaned_Data[Market Cap],0)</f>
        <v>235</v>
      </c>
      <c r="K236" t="str">
        <f t="shared" si="3"/>
        <v>100–1000</v>
      </c>
    </row>
    <row r="237" spans="1:11" x14ac:dyDescent="0.35">
      <c r="A237" t="s">
        <v>1523</v>
      </c>
      <c r="B237" t="s">
        <v>1524</v>
      </c>
      <c r="C237">
        <v>0.27050000000000002</v>
      </c>
      <c r="D237">
        <v>4.1999999999999997E-3</v>
      </c>
      <c r="E237">
        <v>2616371</v>
      </c>
      <c r="F237">
        <v>548295</v>
      </c>
      <c r="G237" t="s">
        <v>1529</v>
      </c>
      <c r="H237">
        <v>9670000</v>
      </c>
      <c r="I237">
        <f>Table_Cleaned_Data[[#This Row],[Volume (24h) USD]]/Table_Cleaned_Data[[#This Row],[Circulating_Supply($)]]</f>
        <v>5.6700620475698037E-2</v>
      </c>
      <c r="J237">
        <f>RANK(Table_Cleaned_Data[[#This Row],[Market Cap]],Table_Cleaned_Data[Market Cap],0)</f>
        <v>236</v>
      </c>
      <c r="K237" t="str">
        <f t="shared" si="3"/>
        <v>0–0.5</v>
      </c>
    </row>
    <row r="238" spans="1:11" x14ac:dyDescent="0.35">
      <c r="A238" t="s">
        <v>1535</v>
      </c>
      <c r="B238" t="s">
        <v>1536</v>
      </c>
      <c r="C238">
        <v>0.27979999999999999</v>
      </c>
      <c r="D238">
        <v>1E-4</v>
      </c>
      <c r="E238">
        <v>2599223</v>
      </c>
      <c r="F238">
        <v>111</v>
      </c>
      <c r="G238" t="s">
        <v>1540</v>
      </c>
      <c r="H238">
        <v>9280000</v>
      </c>
      <c r="I238">
        <f>Table_Cleaned_Data[[#This Row],[Volume (24h) USD]]/Table_Cleaned_Data[[#This Row],[Circulating_Supply($)]]</f>
        <v>1.1961206896551725E-5</v>
      </c>
      <c r="J238">
        <f>RANK(Table_Cleaned_Data[[#This Row],[Market Cap]],Table_Cleaned_Data[Market Cap],0)</f>
        <v>238</v>
      </c>
      <c r="K238" t="str">
        <f t="shared" si="3"/>
        <v>0–0.5</v>
      </c>
    </row>
    <row r="239" spans="1:11" x14ac:dyDescent="0.35">
      <c r="A239" t="s">
        <v>1541</v>
      </c>
      <c r="B239" t="s">
        <v>1542</v>
      </c>
      <c r="C239">
        <v>4.3E-3</v>
      </c>
      <c r="D239">
        <v>1.9E-3</v>
      </c>
      <c r="E239">
        <v>2599402</v>
      </c>
      <c r="F239">
        <v>292160</v>
      </c>
      <c r="G239" t="s">
        <v>1546</v>
      </c>
      <c r="H239">
        <v>603770000</v>
      </c>
      <c r="I239">
        <f>Table_Cleaned_Data[[#This Row],[Volume (24h) USD]]/Table_Cleaned_Data[[#This Row],[Circulating_Supply($)]]</f>
        <v>4.8389287311393411E-4</v>
      </c>
      <c r="J239">
        <f>RANK(Table_Cleaned_Data[[#This Row],[Market Cap]],Table_Cleaned_Data[Market Cap],0)</f>
        <v>237</v>
      </c>
      <c r="K239" t="str">
        <f t="shared" si="3"/>
        <v>0–0.5</v>
      </c>
    </row>
    <row r="240" spans="1:11" x14ac:dyDescent="0.35">
      <c r="A240" t="s">
        <v>1547</v>
      </c>
      <c r="B240" t="s">
        <v>1548</v>
      </c>
      <c r="C240">
        <v>1.6999999999999999E-3</v>
      </c>
      <c r="D240">
        <v>7.7000000000000002E-3</v>
      </c>
      <c r="E240">
        <v>2598336</v>
      </c>
      <c r="F240">
        <v>419073</v>
      </c>
      <c r="G240" t="s">
        <v>1553</v>
      </c>
      <c r="H240">
        <v>1520000000</v>
      </c>
      <c r="I240">
        <f>Table_Cleaned_Data[[#This Row],[Volume (24h) USD]]/Table_Cleaned_Data[[#This Row],[Circulating_Supply($)]]</f>
        <v>2.7570592105263157E-4</v>
      </c>
      <c r="J240">
        <f>RANK(Table_Cleaned_Data[[#This Row],[Market Cap]],Table_Cleaned_Data[Market Cap],0)</f>
        <v>239</v>
      </c>
      <c r="K240" t="str">
        <f t="shared" si="3"/>
        <v>0–0.5</v>
      </c>
    </row>
    <row r="241" spans="1:11" x14ac:dyDescent="0.35">
      <c r="A241" t="s">
        <v>1554</v>
      </c>
      <c r="B241" t="s">
        <v>1555</v>
      </c>
      <c r="C241">
        <v>2.5999999999999999E-3</v>
      </c>
      <c r="D241">
        <v>5.7000000000000002E-3</v>
      </c>
      <c r="E241">
        <v>2593788</v>
      </c>
      <c r="F241">
        <v>1931857</v>
      </c>
      <c r="G241" t="s">
        <v>597</v>
      </c>
      <c r="H241">
        <v>1000000000</v>
      </c>
      <c r="I241">
        <f>Table_Cleaned_Data[[#This Row],[Volume (24h) USD]]/Table_Cleaned_Data[[#This Row],[Circulating_Supply($)]]</f>
        <v>1.9318569999999999E-3</v>
      </c>
      <c r="J241">
        <f>RANK(Table_Cleaned_Data[[#This Row],[Market Cap]],Table_Cleaned_Data[Market Cap],0)</f>
        <v>240</v>
      </c>
      <c r="K241" t="str">
        <f t="shared" si="3"/>
        <v>0–0.5</v>
      </c>
    </row>
    <row r="242" spans="1:11" x14ac:dyDescent="0.35">
      <c r="A242" t="s">
        <v>1559</v>
      </c>
      <c r="B242" t="s">
        <v>1560</v>
      </c>
      <c r="C242">
        <v>486.67</v>
      </c>
      <c r="D242">
        <v>1E-4</v>
      </c>
      <c r="E242">
        <v>2593163</v>
      </c>
      <c r="F242">
        <v>220815</v>
      </c>
      <c r="G242" t="s">
        <v>1564</v>
      </c>
      <c r="H242">
        <v>5320</v>
      </c>
      <c r="I242">
        <f>Table_Cleaned_Data[[#This Row],[Volume (24h) USD]]/Table_Cleaned_Data[[#This Row],[Circulating_Supply($)]]</f>
        <v>41.506578947368418</v>
      </c>
      <c r="J242">
        <f>RANK(Table_Cleaned_Data[[#This Row],[Market Cap]],Table_Cleaned_Data[Market Cap],0)</f>
        <v>241</v>
      </c>
      <c r="K242" t="str">
        <f t="shared" si="3"/>
        <v>100–1000</v>
      </c>
    </row>
    <row r="243" spans="1:11" x14ac:dyDescent="0.35">
      <c r="A243" t="s">
        <v>1565</v>
      </c>
      <c r="B243" t="s">
        <v>1566</v>
      </c>
      <c r="C243">
        <v>4.0000000000000001E-3</v>
      </c>
      <c r="D243">
        <v>2.2000000000000001E-3</v>
      </c>
      <c r="E243">
        <v>2591059</v>
      </c>
      <c r="F243">
        <v>120482</v>
      </c>
      <c r="G243" t="s">
        <v>1570</v>
      </c>
      <c r="H243">
        <v>650810000</v>
      </c>
      <c r="I243">
        <f>Table_Cleaned_Data[[#This Row],[Volume (24h) USD]]/Table_Cleaned_Data[[#This Row],[Circulating_Supply($)]]</f>
        <v>1.8512622731672838E-4</v>
      </c>
      <c r="J243">
        <f>RANK(Table_Cleaned_Data[[#This Row],[Market Cap]],Table_Cleaned_Data[Market Cap],0)</f>
        <v>242</v>
      </c>
      <c r="K243" t="str">
        <f t="shared" si="3"/>
        <v>0–0.5</v>
      </c>
    </row>
    <row r="244" spans="1:11" x14ac:dyDescent="0.35">
      <c r="A244" t="s">
        <v>1571</v>
      </c>
      <c r="B244" t="s">
        <v>1572</v>
      </c>
      <c r="C244">
        <v>2.5999999999999999E-3</v>
      </c>
      <c r="D244">
        <v>7.3000000000000001E-3</v>
      </c>
      <c r="E244">
        <v>2572928</v>
      </c>
      <c r="F244">
        <v>223938</v>
      </c>
      <c r="G244" t="s">
        <v>1576</v>
      </c>
      <c r="H244">
        <v>999990000</v>
      </c>
      <c r="I244">
        <f>Table_Cleaned_Data[[#This Row],[Volume (24h) USD]]/Table_Cleaned_Data[[#This Row],[Circulating_Supply($)]]</f>
        <v>2.2394023940239401E-4</v>
      </c>
      <c r="J244">
        <f>RANK(Table_Cleaned_Data[[#This Row],[Market Cap]],Table_Cleaned_Data[Market Cap],0)</f>
        <v>243</v>
      </c>
      <c r="K244" t="str">
        <f t="shared" si="3"/>
        <v>0–0.5</v>
      </c>
    </row>
    <row r="245" spans="1:11" x14ac:dyDescent="0.35">
      <c r="A245" t="s">
        <v>1577</v>
      </c>
      <c r="B245" t="s">
        <v>1578</v>
      </c>
      <c r="C245">
        <v>4.0000000000000002E-4</v>
      </c>
      <c r="D245">
        <v>2.0000000000000001E-4</v>
      </c>
      <c r="E245">
        <v>2571470</v>
      </c>
      <c r="F245">
        <v>77851</v>
      </c>
      <c r="G245" t="s">
        <v>1582</v>
      </c>
      <c r="H245">
        <v>6930000000</v>
      </c>
      <c r="I245">
        <f>Table_Cleaned_Data[[#This Row],[Volume (24h) USD]]/Table_Cleaned_Data[[#This Row],[Circulating_Supply($)]]</f>
        <v>1.1233910533910533E-5</v>
      </c>
      <c r="J245">
        <f>RANK(Table_Cleaned_Data[[#This Row],[Market Cap]],Table_Cleaned_Data[Market Cap],0)</f>
        <v>244</v>
      </c>
      <c r="K245" t="str">
        <f t="shared" si="3"/>
        <v>0–0.5</v>
      </c>
    </row>
    <row r="246" spans="1:11" x14ac:dyDescent="0.35">
      <c r="A246" t="s">
        <v>1583</v>
      </c>
      <c r="B246" t="s">
        <v>1584</v>
      </c>
      <c r="C246">
        <v>2.5999999999999999E-3</v>
      </c>
      <c r="D246">
        <v>8.9999999999999998E-4</v>
      </c>
      <c r="E246">
        <v>2569001</v>
      </c>
      <c r="F246">
        <v>3446</v>
      </c>
      <c r="G246" t="s">
        <v>597</v>
      </c>
      <c r="H246">
        <v>1000000000</v>
      </c>
      <c r="I246">
        <f>Table_Cleaned_Data[[#This Row],[Volume (24h) USD]]/Table_Cleaned_Data[[#This Row],[Circulating_Supply($)]]</f>
        <v>3.4460000000000001E-6</v>
      </c>
      <c r="J246">
        <f>RANK(Table_Cleaned_Data[[#This Row],[Market Cap]],Table_Cleaned_Data[Market Cap],0)</f>
        <v>245</v>
      </c>
      <c r="K246" t="str">
        <f t="shared" si="3"/>
        <v>0–0.5</v>
      </c>
    </row>
    <row r="247" spans="1:11" x14ac:dyDescent="0.35">
      <c r="A247" t="s">
        <v>1588</v>
      </c>
      <c r="B247" t="s">
        <v>1589</v>
      </c>
      <c r="C247">
        <v>3.3E-3</v>
      </c>
      <c r="D247">
        <v>4.4000000000000003E-3</v>
      </c>
      <c r="E247">
        <v>2567987</v>
      </c>
      <c r="F247">
        <v>25953</v>
      </c>
      <c r="G247" t="s">
        <v>1593</v>
      </c>
      <c r="H247">
        <v>787000000</v>
      </c>
      <c r="I247">
        <f>Table_Cleaned_Data[[#This Row],[Volume (24h) USD]]/Table_Cleaned_Data[[#This Row],[Circulating_Supply($)]]</f>
        <v>3.2977128335451078E-5</v>
      </c>
      <c r="J247">
        <f>RANK(Table_Cleaned_Data[[#This Row],[Market Cap]],Table_Cleaned_Data[Market Cap],0)</f>
        <v>246</v>
      </c>
      <c r="K247" t="str">
        <f t="shared" si="3"/>
        <v>0–0.5</v>
      </c>
    </row>
    <row r="248" spans="1:11" x14ac:dyDescent="0.35">
      <c r="A248" t="s">
        <v>1594</v>
      </c>
      <c r="B248" t="s">
        <v>1595</v>
      </c>
      <c r="C248">
        <v>1.09E-2</v>
      </c>
      <c r="D248">
        <v>7.9399999999999998E-2</v>
      </c>
      <c r="E248">
        <v>2557395</v>
      </c>
      <c r="F248">
        <v>1031311</v>
      </c>
      <c r="G248" t="s">
        <v>1600</v>
      </c>
      <c r="H248">
        <v>234810000</v>
      </c>
      <c r="I248">
        <f>Table_Cleaned_Data[[#This Row],[Volume (24h) USD]]/Table_Cleaned_Data[[#This Row],[Circulating_Supply($)]]</f>
        <v>4.3921085132660447E-3</v>
      </c>
      <c r="J248">
        <f>RANK(Table_Cleaned_Data[[#This Row],[Market Cap]],Table_Cleaned_Data[Market Cap],0)</f>
        <v>247</v>
      </c>
      <c r="K248" t="str">
        <f t="shared" si="3"/>
        <v>0–0.5</v>
      </c>
    </row>
    <row r="249" spans="1:11" x14ac:dyDescent="0.35">
      <c r="A249" t="s">
        <v>1601</v>
      </c>
      <c r="B249" t="s">
        <v>1602</v>
      </c>
      <c r="C249">
        <v>5.4000000000000003E-3</v>
      </c>
      <c r="D249">
        <v>1E-4</v>
      </c>
      <c r="E249">
        <v>2067068</v>
      </c>
      <c r="F249">
        <v>68</v>
      </c>
      <c r="G249" t="s">
        <v>1606</v>
      </c>
      <c r="H249">
        <v>380100000</v>
      </c>
      <c r="I249">
        <f>Table_Cleaned_Data[[#This Row],[Volume (24h) USD]]/Table_Cleaned_Data[[#This Row],[Circulating_Supply($)]]</f>
        <v>1.7890028939752697E-7</v>
      </c>
      <c r="J249">
        <f>RANK(Table_Cleaned_Data[[#This Row],[Market Cap]],Table_Cleaned_Data[Market Cap],0)</f>
        <v>248</v>
      </c>
      <c r="K249" t="str">
        <f t="shared" si="3"/>
        <v>0–0.5</v>
      </c>
    </row>
    <row r="250" spans="1:11" x14ac:dyDescent="0.35">
      <c r="A250" t="s">
        <v>1607</v>
      </c>
      <c r="B250" t="s">
        <v>1608</v>
      </c>
      <c r="C250">
        <v>2.0999999999999999E-3</v>
      </c>
      <c r="D250">
        <v>7.9000000000000008E-3</v>
      </c>
      <c r="E250">
        <v>2061941</v>
      </c>
      <c r="F250">
        <v>202808</v>
      </c>
      <c r="G250" t="s">
        <v>1612</v>
      </c>
      <c r="H250">
        <v>970000000</v>
      </c>
      <c r="I250">
        <f>Table_Cleaned_Data[[#This Row],[Volume (24h) USD]]/Table_Cleaned_Data[[#This Row],[Circulating_Supply($)]]</f>
        <v>2.0908041237113401E-4</v>
      </c>
      <c r="J250">
        <f>RANK(Table_Cleaned_Data[[#This Row],[Market Cap]],Table_Cleaned_Data[Market Cap],0)</f>
        <v>249</v>
      </c>
      <c r="K250" t="str">
        <f t="shared" si="3"/>
        <v>0–0.5</v>
      </c>
    </row>
    <row r="251" spans="1:11" x14ac:dyDescent="0.35">
      <c r="A251" t="s">
        <v>1613</v>
      </c>
      <c r="B251" t="s">
        <v>1614</v>
      </c>
      <c r="C251">
        <v>0</v>
      </c>
      <c r="D251">
        <v>2.1600000000000001E-2</v>
      </c>
      <c r="E251">
        <v>2061716</v>
      </c>
      <c r="F251">
        <v>1112131</v>
      </c>
      <c r="G251" t="s">
        <v>1619</v>
      </c>
      <c r="H251">
        <v>96370000000</v>
      </c>
      <c r="I251">
        <f>Table_Cleaned_Data[[#This Row],[Volume (24h) USD]]/Table_Cleaned_Data[[#This Row],[Circulating_Supply($)]]</f>
        <v>1.1540219985472658E-5</v>
      </c>
      <c r="J251">
        <f>RANK(Table_Cleaned_Data[[#This Row],[Market Cap]],Table_Cleaned_Data[Market Cap],0)</f>
        <v>250</v>
      </c>
      <c r="K251" t="str">
        <f t="shared" si="3"/>
        <v>0–0.5</v>
      </c>
    </row>
    <row r="252" spans="1:11" x14ac:dyDescent="0.35">
      <c r="A252" t="s">
        <v>1620</v>
      </c>
      <c r="B252" t="s">
        <v>1621</v>
      </c>
      <c r="C252">
        <v>1.1000000000000001</v>
      </c>
      <c r="D252">
        <v>1E-4</v>
      </c>
      <c r="E252">
        <v>2058697</v>
      </c>
      <c r="F252">
        <v>47788</v>
      </c>
      <c r="G252" t="s">
        <v>1625</v>
      </c>
      <c r="H252">
        <v>1850000</v>
      </c>
      <c r="I252">
        <f>Table_Cleaned_Data[[#This Row],[Volume (24h) USD]]/Table_Cleaned_Data[[#This Row],[Circulating_Supply($)]]</f>
        <v>2.583135135135135E-2</v>
      </c>
      <c r="J252">
        <f>RANK(Table_Cleaned_Data[[#This Row],[Market Cap]],Table_Cleaned_Data[Market Cap],0)</f>
        <v>251</v>
      </c>
      <c r="K252" t="str">
        <f t="shared" si="3"/>
        <v>1–2</v>
      </c>
    </row>
    <row r="253" spans="1:11" x14ac:dyDescent="0.35">
      <c r="A253" t="s">
        <v>1626</v>
      </c>
      <c r="B253" t="s">
        <v>1627</v>
      </c>
      <c r="C253">
        <v>269.86</v>
      </c>
      <c r="D253">
        <v>1E-4</v>
      </c>
      <c r="E253">
        <v>2058129</v>
      </c>
      <c r="F253">
        <v>213139</v>
      </c>
      <c r="G253" t="s">
        <v>1631</v>
      </c>
      <c r="H253">
        <v>7620</v>
      </c>
      <c r="I253">
        <f>Table_Cleaned_Data[[#This Row],[Volume (24h) USD]]/Table_Cleaned_Data[[#This Row],[Circulating_Supply($)]]</f>
        <v>27.970997375328086</v>
      </c>
      <c r="J253">
        <f>RANK(Table_Cleaned_Data[[#This Row],[Market Cap]],Table_Cleaned_Data[Market Cap],0)</f>
        <v>252</v>
      </c>
      <c r="K253" t="str">
        <f t="shared" si="3"/>
        <v>100–1000</v>
      </c>
    </row>
    <row r="254" spans="1:11" x14ac:dyDescent="0.35">
      <c r="A254" t="s">
        <v>1632</v>
      </c>
      <c r="B254" t="s">
        <v>1633</v>
      </c>
      <c r="C254">
        <v>0.26769999999999999</v>
      </c>
      <c r="D254">
        <v>1.37E-2</v>
      </c>
      <c r="E254">
        <v>2052913</v>
      </c>
      <c r="F254">
        <v>412964</v>
      </c>
      <c r="G254" t="s">
        <v>1638</v>
      </c>
      <c r="H254">
        <v>7660000</v>
      </c>
      <c r="I254">
        <f>Table_Cleaned_Data[[#This Row],[Volume (24h) USD]]/Table_Cleaned_Data[[#This Row],[Circulating_Supply($)]]</f>
        <v>5.3911749347258488E-2</v>
      </c>
      <c r="J254">
        <f>RANK(Table_Cleaned_Data[[#This Row],[Market Cap]],Table_Cleaned_Data[Market Cap],0)</f>
        <v>253</v>
      </c>
      <c r="K254" t="str">
        <f t="shared" si="3"/>
        <v>0–0.5</v>
      </c>
    </row>
    <row r="255" spans="1:11" x14ac:dyDescent="0.35">
      <c r="A255" t="s">
        <v>1639</v>
      </c>
      <c r="B255" t="s">
        <v>1639</v>
      </c>
      <c r="C255">
        <v>2.0999999999999999E-3</v>
      </c>
      <c r="D255">
        <v>2.41E-2</v>
      </c>
      <c r="E255">
        <v>2051634</v>
      </c>
      <c r="F255">
        <v>3927486</v>
      </c>
      <c r="G255" t="s">
        <v>597</v>
      </c>
      <c r="H255">
        <v>1000000000</v>
      </c>
      <c r="I255">
        <f>Table_Cleaned_Data[[#This Row],[Volume (24h) USD]]/Table_Cleaned_Data[[#This Row],[Circulating_Supply($)]]</f>
        <v>3.927486E-3</v>
      </c>
      <c r="J255">
        <f>RANK(Table_Cleaned_Data[[#This Row],[Market Cap]],Table_Cleaned_Data[Market Cap],0)</f>
        <v>254</v>
      </c>
      <c r="K255" t="str">
        <f t="shared" si="3"/>
        <v>0–0.5</v>
      </c>
    </row>
    <row r="256" spans="1:11" x14ac:dyDescent="0.35">
      <c r="A256" t="s">
        <v>1644</v>
      </c>
      <c r="B256" t="s">
        <v>1645</v>
      </c>
      <c r="C256">
        <v>5.0000000000000001E-4</v>
      </c>
      <c r="D256">
        <v>9.4999999999999998E-3</v>
      </c>
      <c r="E256">
        <v>2039455</v>
      </c>
      <c r="F256">
        <v>1877811</v>
      </c>
      <c r="G256" t="s">
        <v>1649</v>
      </c>
      <c r="H256">
        <v>4330000000</v>
      </c>
      <c r="I256">
        <f>Table_Cleaned_Data[[#This Row],[Volume (24h) USD]]/Table_Cleaned_Data[[#This Row],[Circulating_Supply($)]]</f>
        <v>4.3367459584295613E-4</v>
      </c>
      <c r="J256">
        <f>RANK(Table_Cleaned_Data[[#This Row],[Market Cap]],Table_Cleaned_Data[Market Cap],0)</f>
        <v>255</v>
      </c>
      <c r="K256" t="str">
        <f t="shared" si="3"/>
        <v>0–0.5</v>
      </c>
    </row>
    <row r="257" spans="1:11" x14ac:dyDescent="0.35">
      <c r="A257" t="s">
        <v>1650</v>
      </c>
      <c r="B257" t="s">
        <v>1651</v>
      </c>
      <c r="C257">
        <v>0.1804</v>
      </c>
      <c r="D257">
        <v>2.7000000000000001E-3</v>
      </c>
      <c r="E257">
        <v>2037382</v>
      </c>
      <c r="F257">
        <v>175018</v>
      </c>
      <c r="G257" t="s">
        <v>1655</v>
      </c>
      <c r="H257">
        <v>11280000</v>
      </c>
      <c r="I257">
        <f>Table_Cleaned_Data[[#This Row],[Volume (24h) USD]]/Table_Cleaned_Data[[#This Row],[Circulating_Supply($)]]</f>
        <v>1.5515780141843972E-2</v>
      </c>
      <c r="J257">
        <f>RANK(Table_Cleaned_Data[[#This Row],[Market Cap]],Table_Cleaned_Data[Market Cap],0)</f>
        <v>256</v>
      </c>
      <c r="K257" t="str">
        <f t="shared" si="3"/>
        <v>0–0.5</v>
      </c>
    </row>
    <row r="258" spans="1:11" x14ac:dyDescent="0.35">
      <c r="A258" t="s">
        <v>1656</v>
      </c>
      <c r="B258" t="s">
        <v>1657</v>
      </c>
      <c r="C258">
        <v>0</v>
      </c>
      <c r="D258">
        <v>1.4E-3</v>
      </c>
      <c r="E258">
        <v>2029259</v>
      </c>
      <c r="F258">
        <v>2841232</v>
      </c>
      <c r="G258" t="s">
        <v>1661</v>
      </c>
      <c r="H258">
        <v>69000000000</v>
      </c>
      <c r="I258">
        <f>Table_Cleaned_Data[[#This Row],[Volume (24h) USD]]/Table_Cleaned_Data[[#This Row],[Circulating_Supply($)]]</f>
        <v>4.1177275362318839E-5</v>
      </c>
      <c r="J258">
        <f>RANK(Table_Cleaned_Data[[#This Row],[Market Cap]],Table_Cleaned_Data[Market Cap],0)</f>
        <v>259</v>
      </c>
      <c r="K258" t="str">
        <f t="shared" ref="K258:K290" si="4">IF(C258&lt;=0.5,"0–0.5",
IF(C258&lt;=1,"0.5–1",
IF(C258&lt;=2,"1–2",
IF(C258&lt;=10,"2–10",
IF(C258&lt;=100,"10–100",
IF(C258&lt;=1000,"100–1000",
IF(C258&lt;=10000,"1000–10000",
"10000+")))))))</f>
        <v>0–0.5</v>
      </c>
    </row>
    <row r="259" spans="1:11" x14ac:dyDescent="0.35">
      <c r="A259" t="s">
        <v>1662</v>
      </c>
      <c r="B259" t="s">
        <v>1663</v>
      </c>
      <c r="C259">
        <v>52.74</v>
      </c>
      <c r="D259">
        <v>1.3299999999999999E-2</v>
      </c>
      <c r="E259">
        <v>2035580</v>
      </c>
      <c r="F259">
        <v>117506</v>
      </c>
      <c r="G259" t="s">
        <v>1668</v>
      </c>
      <c r="H259">
        <v>38590</v>
      </c>
      <c r="I259">
        <f>Table_Cleaned_Data[[#This Row],[Volume (24h) USD]]/Table_Cleaned_Data[[#This Row],[Circulating_Supply($)]]</f>
        <v>3.0449857476030058</v>
      </c>
      <c r="J259">
        <f>RANK(Table_Cleaned_Data[[#This Row],[Market Cap]],Table_Cleaned_Data[Market Cap],0)</f>
        <v>257</v>
      </c>
      <c r="K259" t="str">
        <f t="shared" si="4"/>
        <v>10–100</v>
      </c>
    </row>
    <row r="260" spans="1:11" x14ac:dyDescent="0.35">
      <c r="A260" t="s">
        <v>1669</v>
      </c>
      <c r="B260" t="s">
        <v>1670</v>
      </c>
      <c r="C260">
        <v>8.43E-2</v>
      </c>
      <c r="D260">
        <v>2.5000000000000001E-3</v>
      </c>
      <c r="E260">
        <v>2029473</v>
      </c>
      <c r="F260">
        <v>73652</v>
      </c>
      <c r="G260" t="s">
        <v>1674</v>
      </c>
      <c r="H260">
        <v>469000000000000</v>
      </c>
      <c r="I260">
        <f>Table_Cleaned_Data[[#This Row],[Volume (24h) USD]]/Table_Cleaned_Data[[#This Row],[Circulating_Supply($)]]</f>
        <v>1.5704051172707888E-10</v>
      </c>
      <c r="J260">
        <f>RANK(Table_Cleaned_Data[[#This Row],[Market Cap]],Table_Cleaned_Data[Market Cap],0)</f>
        <v>258</v>
      </c>
      <c r="K260" t="str">
        <f t="shared" si="4"/>
        <v>0–0.5</v>
      </c>
    </row>
    <row r="261" spans="1:11" x14ac:dyDescent="0.35">
      <c r="A261" t="s">
        <v>1675</v>
      </c>
      <c r="B261" t="s">
        <v>1676</v>
      </c>
      <c r="C261">
        <v>5.4100000000000002E-2</v>
      </c>
      <c r="D261">
        <v>3.5799999999999998E-2</v>
      </c>
      <c r="E261">
        <v>2018735</v>
      </c>
      <c r="F261">
        <v>6071099</v>
      </c>
      <c r="G261" t="s">
        <v>1681</v>
      </c>
      <c r="H261">
        <v>497310000000</v>
      </c>
      <c r="I261">
        <f>Table_Cleaned_Data[[#This Row],[Volume (24h) USD]]/Table_Cleaned_Data[[#This Row],[Circulating_Supply($)]]</f>
        <v>1.2207876374896945E-5</v>
      </c>
      <c r="J261">
        <f>RANK(Table_Cleaned_Data[[#This Row],[Market Cap]],Table_Cleaned_Data[Market Cap],0)</f>
        <v>260</v>
      </c>
      <c r="K261" t="str">
        <f t="shared" si="4"/>
        <v>0–0.5</v>
      </c>
    </row>
    <row r="262" spans="1:11" x14ac:dyDescent="0.35">
      <c r="A262" t="s">
        <v>1682</v>
      </c>
      <c r="B262" t="s">
        <v>1683</v>
      </c>
      <c r="C262">
        <v>5.9999999999999995E-4</v>
      </c>
      <c r="D262">
        <v>4.7000000000000002E-3</v>
      </c>
      <c r="E262">
        <v>2014166</v>
      </c>
      <c r="F262">
        <v>119479</v>
      </c>
      <c r="G262" t="s">
        <v>1687</v>
      </c>
      <c r="H262">
        <v>3650000000</v>
      </c>
      <c r="I262">
        <f>Table_Cleaned_Data[[#This Row],[Volume (24h) USD]]/Table_Cleaned_Data[[#This Row],[Circulating_Supply($)]]</f>
        <v>3.2733972602739726E-5</v>
      </c>
      <c r="J262">
        <f>RANK(Table_Cleaned_Data[[#This Row],[Market Cap]],Table_Cleaned_Data[Market Cap],0)</f>
        <v>261</v>
      </c>
      <c r="K262" t="str">
        <f t="shared" si="4"/>
        <v>0–0.5</v>
      </c>
    </row>
    <row r="263" spans="1:11" x14ac:dyDescent="0.35">
      <c r="A263" t="s">
        <v>1688</v>
      </c>
      <c r="B263" t="s">
        <v>1689</v>
      </c>
      <c r="C263">
        <v>1.6199999999999999E-2</v>
      </c>
      <c r="D263">
        <v>1E-4</v>
      </c>
      <c r="E263">
        <v>1998825</v>
      </c>
      <c r="F263">
        <v>75</v>
      </c>
      <c r="G263" t="s">
        <v>1693</v>
      </c>
      <c r="I263" t="e">
        <f>Table_Cleaned_Data[[#This Row],[Volume (24h) USD]]/Table_Cleaned_Data[[#This Row],[Circulating_Supply($)]]</f>
        <v>#DIV/0!</v>
      </c>
      <c r="J263">
        <f>RANK(Table_Cleaned_Data[[#This Row],[Market Cap]],Table_Cleaned_Data[Market Cap],0)</f>
        <v>262</v>
      </c>
      <c r="K263" t="str">
        <f t="shared" si="4"/>
        <v>0–0.5</v>
      </c>
    </row>
    <row r="264" spans="1:11" x14ac:dyDescent="0.35">
      <c r="A264" t="s">
        <v>1694</v>
      </c>
      <c r="B264" t="s">
        <v>1695</v>
      </c>
      <c r="C264">
        <v>5.0000000000000001E-4</v>
      </c>
      <c r="D264">
        <v>5.1999999999999998E-3</v>
      </c>
      <c r="E264">
        <v>1673937</v>
      </c>
      <c r="F264">
        <v>875639</v>
      </c>
      <c r="G264" t="s">
        <v>1699</v>
      </c>
      <c r="H264">
        <v>3570000000</v>
      </c>
      <c r="I264">
        <f>Table_Cleaned_Data[[#This Row],[Volume (24h) USD]]/Table_Cleaned_Data[[#This Row],[Circulating_Supply($)]]</f>
        <v>2.4527703081232493E-4</v>
      </c>
      <c r="J264">
        <f>RANK(Table_Cleaned_Data[[#This Row],[Market Cap]],Table_Cleaned_Data[Market Cap],0)</f>
        <v>263</v>
      </c>
      <c r="K264" t="str">
        <f t="shared" si="4"/>
        <v>0–0.5</v>
      </c>
    </row>
    <row r="265" spans="1:11" x14ac:dyDescent="0.35">
      <c r="A265" t="s">
        <v>1700</v>
      </c>
      <c r="B265" t="s">
        <v>1701</v>
      </c>
      <c r="C265">
        <v>3.0099999999999998E-2</v>
      </c>
      <c r="D265">
        <v>8.9999999999999998E-4</v>
      </c>
      <c r="E265">
        <v>1670143</v>
      </c>
      <c r="F265">
        <v>8</v>
      </c>
      <c r="G265" t="s">
        <v>1705</v>
      </c>
      <c r="H265">
        <v>55410000</v>
      </c>
      <c r="I265">
        <f>Table_Cleaned_Data[[#This Row],[Volume (24h) USD]]/Table_Cleaned_Data[[#This Row],[Circulating_Supply($)]]</f>
        <v>1.4437827107020394E-7</v>
      </c>
      <c r="J265">
        <f>RANK(Table_Cleaned_Data[[#This Row],[Market Cap]],Table_Cleaned_Data[Market Cap],0)</f>
        <v>264</v>
      </c>
      <c r="K265" t="str">
        <f t="shared" si="4"/>
        <v>0–0.5</v>
      </c>
    </row>
    <row r="266" spans="1:11" x14ac:dyDescent="0.35">
      <c r="A266" t="s">
        <v>1706</v>
      </c>
      <c r="B266" t="s">
        <v>1707</v>
      </c>
      <c r="C266">
        <v>4.1999999999999997E-3</v>
      </c>
      <c r="D266">
        <v>2.0000000000000001E-4</v>
      </c>
      <c r="E266">
        <v>1658808</v>
      </c>
      <c r="F266">
        <v>3960</v>
      </c>
      <c r="G266" t="s">
        <v>1711</v>
      </c>
      <c r="H266">
        <v>396570000</v>
      </c>
      <c r="I266">
        <f>Table_Cleaned_Data[[#This Row],[Volume (24h) USD]]/Table_Cleaned_Data[[#This Row],[Circulating_Supply($)]]</f>
        <v>9.9856267493758989E-6</v>
      </c>
      <c r="J266">
        <f>RANK(Table_Cleaned_Data[[#This Row],[Market Cap]],Table_Cleaned_Data[Market Cap],0)</f>
        <v>265</v>
      </c>
      <c r="K266" t="str">
        <f t="shared" si="4"/>
        <v>0–0.5</v>
      </c>
    </row>
    <row r="267" spans="1:11" x14ac:dyDescent="0.35">
      <c r="A267" t="s">
        <v>1712</v>
      </c>
      <c r="B267" t="s">
        <v>1713</v>
      </c>
      <c r="C267">
        <v>2.3999999999999998E-3</v>
      </c>
      <c r="D267">
        <v>2.9100000000000001E-2</v>
      </c>
      <c r="E267">
        <v>1658112</v>
      </c>
      <c r="F267">
        <v>2395488</v>
      </c>
      <c r="G267" t="s">
        <v>1718</v>
      </c>
      <c r="H267">
        <v>692890000</v>
      </c>
      <c r="I267">
        <f>Table_Cleaned_Data[[#This Row],[Volume (24h) USD]]/Table_Cleaned_Data[[#This Row],[Circulating_Supply($)]]</f>
        <v>3.4572414091702868E-3</v>
      </c>
      <c r="J267">
        <f>RANK(Table_Cleaned_Data[[#This Row],[Market Cap]],Table_Cleaned_Data[Market Cap],0)</f>
        <v>266</v>
      </c>
      <c r="K267" t="str">
        <f t="shared" si="4"/>
        <v>0–0.5</v>
      </c>
    </row>
    <row r="268" spans="1:11" x14ac:dyDescent="0.35">
      <c r="A268" t="s">
        <v>1719</v>
      </c>
      <c r="B268" t="s">
        <v>1720</v>
      </c>
      <c r="C268">
        <v>1.6000000000000001E-3</v>
      </c>
      <c r="D268">
        <v>2.3999999999999998E-3</v>
      </c>
      <c r="E268">
        <v>1656286</v>
      </c>
      <c r="F268">
        <v>60239</v>
      </c>
      <c r="G268" t="s">
        <v>1724</v>
      </c>
      <c r="H268">
        <v>1050000000</v>
      </c>
      <c r="I268">
        <f>Table_Cleaned_Data[[#This Row],[Volume (24h) USD]]/Table_Cleaned_Data[[#This Row],[Circulating_Supply($)]]</f>
        <v>5.7370476190476192E-5</v>
      </c>
      <c r="J268">
        <f>RANK(Table_Cleaned_Data[[#This Row],[Market Cap]],Table_Cleaned_Data[Market Cap],0)</f>
        <v>267</v>
      </c>
      <c r="K268" t="str">
        <f t="shared" si="4"/>
        <v>0–0.5</v>
      </c>
    </row>
    <row r="269" spans="1:11" x14ac:dyDescent="0.35">
      <c r="A269" t="s">
        <v>1725</v>
      </c>
      <c r="B269" t="s">
        <v>1726</v>
      </c>
      <c r="C269">
        <v>3.3999999999999998E-3</v>
      </c>
      <c r="D269">
        <v>6.9999999999999999E-4</v>
      </c>
      <c r="E269">
        <v>1653777</v>
      </c>
      <c r="F269">
        <v>264639</v>
      </c>
      <c r="G269" t="s">
        <v>1730</v>
      </c>
      <c r="H269">
        <v>491560000</v>
      </c>
      <c r="I269">
        <f>Table_Cleaned_Data[[#This Row],[Volume (24h) USD]]/Table_Cleaned_Data[[#This Row],[Circulating_Supply($)]]</f>
        <v>5.3836561152249981E-4</v>
      </c>
      <c r="J269">
        <f>RANK(Table_Cleaned_Data[[#This Row],[Market Cap]],Table_Cleaned_Data[Market Cap],0)</f>
        <v>268</v>
      </c>
      <c r="K269" t="str">
        <f t="shared" si="4"/>
        <v>0–0.5</v>
      </c>
    </row>
    <row r="270" spans="1:11" x14ac:dyDescent="0.35">
      <c r="A270" t="s">
        <v>1736</v>
      </c>
      <c r="B270" t="s">
        <v>1737</v>
      </c>
      <c r="C270">
        <v>5.7999999999999996E-3</v>
      </c>
      <c r="D270">
        <v>2.0000000000000001E-4</v>
      </c>
      <c r="E270">
        <v>1647748</v>
      </c>
      <c r="F270">
        <v>119611</v>
      </c>
      <c r="G270" t="s">
        <v>1741</v>
      </c>
      <c r="H270">
        <v>284000000</v>
      </c>
      <c r="I270">
        <f>Table_Cleaned_Data[[#This Row],[Volume (24h) USD]]/Table_Cleaned_Data[[#This Row],[Circulating_Supply($)]]</f>
        <v>4.2116549295774649E-4</v>
      </c>
      <c r="J270">
        <f>RANK(Table_Cleaned_Data[[#This Row],[Market Cap]],Table_Cleaned_Data[Market Cap],0)</f>
        <v>269</v>
      </c>
      <c r="K270" t="str">
        <f t="shared" si="4"/>
        <v>0–0.5</v>
      </c>
    </row>
    <row r="271" spans="1:11" x14ac:dyDescent="0.35">
      <c r="A271" t="s">
        <v>1742</v>
      </c>
      <c r="B271" t="s">
        <v>1743</v>
      </c>
      <c r="C271">
        <v>5.4899999999999997E-2</v>
      </c>
      <c r="D271">
        <v>7.1000000000000004E-3</v>
      </c>
      <c r="E271">
        <v>1646017</v>
      </c>
      <c r="F271">
        <v>1632086</v>
      </c>
      <c r="G271" t="s">
        <v>1747</v>
      </c>
      <c r="H271">
        <v>30000000</v>
      </c>
      <c r="I271">
        <f>Table_Cleaned_Data[[#This Row],[Volume (24h) USD]]/Table_Cleaned_Data[[#This Row],[Circulating_Supply($)]]</f>
        <v>5.4402866666666667E-2</v>
      </c>
      <c r="J271">
        <f>RANK(Table_Cleaned_Data[[#This Row],[Market Cap]],Table_Cleaned_Data[Market Cap],0)</f>
        <v>270</v>
      </c>
      <c r="K271" t="str">
        <f t="shared" si="4"/>
        <v>0–0.5</v>
      </c>
    </row>
    <row r="272" spans="1:11" x14ac:dyDescent="0.35">
      <c r="A272" t="s">
        <v>1748</v>
      </c>
      <c r="B272" t="s">
        <v>1749</v>
      </c>
      <c r="C272">
        <v>1.9E-3</v>
      </c>
      <c r="D272">
        <v>1E-4</v>
      </c>
      <c r="E272">
        <v>1640224</v>
      </c>
      <c r="F272">
        <v>121545</v>
      </c>
      <c r="G272" t="s">
        <v>1753</v>
      </c>
      <c r="H272">
        <v>869790000</v>
      </c>
      <c r="I272">
        <f>Table_Cleaned_Data[[#This Row],[Volume (24h) USD]]/Table_Cleaned_Data[[#This Row],[Circulating_Supply($)]]</f>
        <v>1.397406270479081E-4</v>
      </c>
      <c r="J272">
        <f>RANK(Table_Cleaned_Data[[#This Row],[Market Cap]],Table_Cleaned_Data[Market Cap],0)</f>
        <v>271</v>
      </c>
      <c r="K272" t="str">
        <f t="shared" si="4"/>
        <v>0–0.5</v>
      </c>
    </row>
    <row r="273" spans="1:11" x14ac:dyDescent="0.35">
      <c r="A273" t="s">
        <v>1754</v>
      </c>
      <c r="B273" t="s">
        <v>1755</v>
      </c>
      <c r="C273">
        <v>1E-4</v>
      </c>
      <c r="D273">
        <v>5.0000000000000001E-3</v>
      </c>
      <c r="E273">
        <v>1637470</v>
      </c>
      <c r="F273">
        <v>172807</v>
      </c>
      <c r="G273" t="s">
        <v>1759</v>
      </c>
      <c r="H273">
        <v>12890000000</v>
      </c>
      <c r="I273">
        <f>Table_Cleaned_Data[[#This Row],[Volume (24h) USD]]/Table_Cleaned_Data[[#This Row],[Circulating_Supply($)]]</f>
        <v>1.3406283941039565E-5</v>
      </c>
      <c r="J273">
        <f>RANK(Table_Cleaned_Data[[#This Row],[Market Cap]],Table_Cleaned_Data[Market Cap],0)</f>
        <v>272</v>
      </c>
      <c r="K273" t="str">
        <f t="shared" si="4"/>
        <v>0–0.5</v>
      </c>
    </row>
    <row r="274" spans="1:11" x14ac:dyDescent="0.35">
      <c r="A274" t="s">
        <v>1760</v>
      </c>
      <c r="B274" t="s">
        <v>1761</v>
      </c>
      <c r="C274">
        <v>1.6000000000000001E-3</v>
      </c>
      <c r="D274">
        <v>5.1000000000000004E-3</v>
      </c>
      <c r="E274">
        <v>1630840</v>
      </c>
      <c r="F274">
        <v>2095797</v>
      </c>
      <c r="G274" t="s">
        <v>597</v>
      </c>
      <c r="H274">
        <v>1000000000</v>
      </c>
      <c r="I274">
        <f>Table_Cleaned_Data[[#This Row],[Volume (24h) USD]]/Table_Cleaned_Data[[#This Row],[Circulating_Supply($)]]</f>
        <v>2.0957969999999999E-3</v>
      </c>
      <c r="J274">
        <f>RANK(Table_Cleaned_Data[[#This Row],[Market Cap]],Table_Cleaned_Data[Market Cap],0)</f>
        <v>273</v>
      </c>
      <c r="K274" t="str">
        <f t="shared" si="4"/>
        <v>0–0.5</v>
      </c>
    </row>
    <row r="275" spans="1:11" x14ac:dyDescent="0.35">
      <c r="A275" t="s">
        <v>1766</v>
      </c>
      <c r="B275" t="s">
        <v>1767</v>
      </c>
      <c r="C275">
        <v>2.9999999999999997E-4</v>
      </c>
      <c r="D275">
        <v>2.3E-2</v>
      </c>
      <c r="E275">
        <v>1630658</v>
      </c>
      <c r="F275">
        <v>202903</v>
      </c>
      <c r="G275" t="s">
        <v>1772</v>
      </c>
      <c r="H275">
        <v>5930000000</v>
      </c>
      <c r="I275">
        <f>Table_Cleaned_Data[[#This Row],[Volume (24h) USD]]/Table_Cleaned_Data[[#This Row],[Circulating_Supply($)]]</f>
        <v>3.4216357504215853E-5</v>
      </c>
      <c r="J275">
        <f>RANK(Table_Cleaned_Data[[#This Row],[Market Cap]],Table_Cleaned_Data[Market Cap],0)</f>
        <v>274</v>
      </c>
      <c r="K275" t="str">
        <f t="shared" si="4"/>
        <v>0–0.5</v>
      </c>
    </row>
    <row r="276" spans="1:11" x14ac:dyDescent="0.35">
      <c r="A276" t="s">
        <v>1773</v>
      </c>
      <c r="B276" t="s">
        <v>1774</v>
      </c>
      <c r="C276">
        <v>7.4999999999999997E-3</v>
      </c>
      <c r="D276">
        <v>2.0799999999999999E-2</v>
      </c>
      <c r="E276">
        <v>1629272</v>
      </c>
      <c r="F276">
        <v>6640266</v>
      </c>
      <c r="G276" t="s">
        <v>1779</v>
      </c>
      <c r="H276">
        <v>217500000</v>
      </c>
      <c r="I276">
        <f>Table_Cleaned_Data[[#This Row],[Volume (24h) USD]]/Table_Cleaned_Data[[#This Row],[Circulating_Supply($)]]</f>
        <v>3.0529958620689655E-2</v>
      </c>
      <c r="J276">
        <f>RANK(Table_Cleaned_Data[[#This Row],[Market Cap]],Table_Cleaned_Data[Market Cap],0)</f>
        <v>275</v>
      </c>
      <c r="K276" t="str">
        <f t="shared" si="4"/>
        <v>0–0.5</v>
      </c>
    </row>
    <row r="277" spans="1:11" x14ac:dyDescent="0.35">
      <c r="A277" t="s">
        <v>1780</v>
      </c>
      <c r="B277" t="s">
        <v>1781</v>
      </c>
      <c r="C277">
        <v>0.25850000000000001</v>
      </c>
      <c r="D277">
        <v>6.4999999999999997E-3</v>
      </c>
      <c r="E277">
        <v>1622431</v>
      </c>
      <c r="F277">
        <v>148384</v>
      </c>
      <c r="G277" t="s">
        <v>1785</v>
      </c>
      <c r="H277">
        <v>6270000</v>
      </c>
      <c r="I277">
        <f>Table_Cleaned_Data[[#This Row],[Volume (24h) USD]]/Table_Cleaned_Data[[#This Row],[Circulating_Supply($)]]</f>
        <v>2.3665709728867623E-2</v>
      </c>
      <c r="J277">
        <f>RANK(Table_Cleaned_Data[[#This Row],[Market Cap]],Table_Cleaned_Data[Market Cap],0)</f>
        <v>276</v>
      </c>
      <c r="K277" t="str">
        <f t="shared" si="4"/>
        <v>0–0.5</v>
      </c>
    </row>
    <row r="278" spans="1:11" x14ac:dyDescent="0.35">
      <c r="A278" t="s">
        <v>1786</v>
      </c>
      <c r="B278" t="s">
        <v>1787</v>
      </c>
      <c r="C278">
        <v>1.9699999999999999E-2</v>
      </c>
      <c r="D278">
        <v>3.7000000000000002E-3</v>
      </c>
      <c r="E278">
        <v>1364927</v>
      </c>
      <c r="F278">
        <v>498471</v>
      </c>
      <c r="G278" t="s">
        <v>1792</v>
      </c>
      <c r="H278">
        <v>69420000</v>
      </c>
      <c r="I278">
        <f>Table_Cleaned_Data[[#This Row],[Volume (24h) USD]]/Table_Cleaned_Data[[#This Row],[Circulating_Supply($)]]</f>
        <v>7.1805099394987035E-3</v>
      </c>
      <c r="J278">
        <f>RANK(Table_Cleaned_Data[[#This Row],[Market Cap]],Table_Cleaned_Data[Market Cap],0)</f>
        <v>277</v>
      </c>
      <c r="K278" t="str">
        <f t="shared" si="4"/>
        <v>0–0.5</v>
      </c>
    </row>
    <row r="279" spans="1:11" x14ac:dyDescent="0.35">
      <c r="A279" t="s">
        <v>1798</v>
      </c>
      <c r="B279" t="s">
        <v>1799</v>
      </c>
      <c r="C279">
        <v>1.4E-3</v>
      </c>
      <c r="D279">
        <v>9.1999999999999998E-3</v>
      </c>
      <c r="E279">
        <v>1360623</v>
      </c>
      <c r="F279">
        <v>325530</v>
      </c>
      <c r="G279" t="s">
        <v>1576</v>
      </c>
      <c r="H279">
        <v>999990000</v>
      </c>
      <c r="I279">
        <f>Table_Cleaned_Data[[#This Row],[Volume (24h) USD]]/Table_Cleaned_Data[[#This Row],[Circulating_Supply($)]]</f>
        <v>3.2553325533255331E-4</v>
      </c>
      <c r="J279">
        <f>RANK(Table_Cleaned_Data[[#This Row],[Market Cap]],Table_Cleaned_Data[Market Cap],0)</f>
        <v>278</v>
      </c>
      <c r="K279" t="str">
        <f t="shared" si="4"/>
        <v>0–0.5</v>
      </c>
    </row>
    <row r="280" spans="1:11" x14ac:dyDescent="0.35">
      <c r="A280" t="s">
        <v>1808</v>
      </c>
      <c r="B280" t="s">
        <v>1809</v>
      </c>
      <c r="C280">
        <v>2.5000000000000001E-3</v>
      </c>
      <c r="D280">
        <v>5.9999999999999995E-4</v>
      </c>
      <c r="E280">
        <v>1356556</v>
      </c>
      <c r="F280">
        <v>69221</v>
      </c>
      <c r="G280" t="s">
        <v>1813</v>
      </c>
      <c r="H280">
        <v>547330000</v>
      </c>
      <c r="I280">
        <f>Table_Cleaned_Data[[#This Row],[Volume (24h) USD]]/Table_Cleaned_Data[[#This Row],[Circulating_Supply($)]]</f>
        <v>1.264703195512762E-4</v>
      </c>
      <c r="J280">
        <f>RANK(Table_Cleaned_Data[[#This Row],[Market Cap]],Table_Cleaned_Data[Market Cap],0)</f>
        <v>279</v>
      </c>
      <c r="K280" t="str">
        <f t="shared" si="4"/>
        <v>0–0.5</v>
      </c>
    </row>
    <row r="281" spans="1:11" x14ac:dyDescent="0.35">
      <c r="A281" t="s">
        <v>1814</v>
      </c>
      <c r="B281" t="s">
        <v>1815</v>
      </c>
      <c r="C281">
        <v>5.4000000000000003E-3</v>
      </c>
      <c r="D281">
        <v>3.0999999999999999E-3</v>
      </c>
      <c r="E281">
        <v>1349188</v>
      </c>
      <c r="F281">
        <v>115146</v>
      </c>
      <c r="G281" t="s">
        <v>1819</v>
      </c>
      <c r="H281">
        <v>250000000</v>
      </c>
      <c r="I281">
        <f>Table_Cleaned_Data[[#This Row],[Volume (24h) USD]]/Table_Cleaned_Data[[#This Row],[Circulating_Supply($)]]</f>
        <v>4.6058399999999999E-4</v>
      </c>
      <c r="J281">
        <f>RANK(Table_Cleaned_Data[[#This Row],[Market Cap]],Table_Cleaned_Data[Market Cap],0)</f>
        <v>280</v>
      </c>
      <c r="K281" t="str">
        <f t="shared" si="4"/>
        <v>0–0.5</v>
      </c>
    </row>
    <row r="282" spans="1:11" x14ac:dyDescent="0.35">
      <c r="A282" t="s">
        <v>1820</v>
      </c>
      <c r="B282" t="s">
        <v>1821</v>
      </c>
      <c r="C282">
        <v>1.4E-3</v>
      </c>
      <c r="D282">
        <v>3.7000000000000002E-3</v>
      </c>
      <c r="E282">
        <v>1347893</v>
      </c>
      <c r="F282">
        <v>11534</v>
      </c>
      <c r="G282" t="s">
        <v>1825</v>
      </c>
      <c r="H282">
        <v>995210000</v>
      </c>
      <c r="I282">
        <f>Table_Cleaned_Data[[#This Row],[Volume (24h) USD]]/Table_Cleaned_Data[[#This Row],[Circulating_Supply($)]]</f>
        <v>1.1589513770962912E-5</v>
      </c>
      <c r="J282">
        <f>RANK(Table_Cleaned_Data[[#This Row],[Market Cap]],Table_Cleaned_Data[Market Cap],0)</f>
        <v>281</v>
      </c>
      <c r="K282" t="str">
        <f t="shared" si="4"/>
        <v>0–0.5</v>
      </c>
    </row>
    <row r="283" spans="1:11" x14ac:dyDescent="0.35">
      <c r="A283" t="s">
        <v>1826</v>
      </c>
      <c r="B283" t="s">
        <v>1827</v>
      </c>
      <c r="C283">
        <v>1.2999999999999999E-3</v>
      </c>
      <c r="D283">
        <v>0</v>
      </c>
      <c r="E283">
        <v>1347859</v>
      </c>
      <c r="F283">
        <v>3</v>
      </c>
      <c r="G283" t="s">
        <v>597</v>
      </c>
      <c r="H283">
        <v>1000000000</v>
      </c>
      <c r="I283">
        <f>Table_Cleaned_Data[[#This Row],[Volume (24h) USD]]/Table_Cleaned_Data[[#This Row],[Circulating_Supply($)]]</f>
        <v>3E-9</v>
      </c>
      <c r="J283">
        <f>RANK(Table_Cleaned_Data[[#This Row],[Market Cap]],Table_Cleaned_Data[Market Cap],0)</f>
        <v>282</v>
      </c>
      <c r="K283" t="str">
        <f t="shared" si="4"/>
        <v>0–0.5</v>
      </c>
    </row>
    <row r="284" spans="1:11" x14ac:dyDescent="0.35">
      <c r="A284" t="s">
        <v>1831</v>
      </c>
      <c r="B284" t="s">
        <v>1832</v>
      </c>
      <c r="C284">
        <v>0.71079999999999999</v>
      </c>
      <c r="D284">
        <v>5.5999999999999999E-3</v>
      </c>
      <c r="E284">
        <v>1346379</v>
      </c>
      <c r="F284">
        <v>8743</v>
      </c>
      <c r="G284" t="s">
        <v>1836</v>
      </c>
      <c r="H284">
        <v>1890000</v>
      </c>
      <c r="I284">
        <f>Table_Cleaned_Data[[#This Row],[Volume (24h) USD]]/Table_Cleaned_Data[[#This Row],[Circulating_Supply($)]]</f>
        <v>4.6259259259259257E-3</v>
      </c>
      <c r="J284">
        <f>RANK(Table_Cleaned_Data[[#This Row],[Market Cap]],Table_Cleaned_Data[Market Cap],0)</f>
        <v>283</v>
      </c>
      <c r="K284" t="str">
        <f t="shared" si="4"/>
        <v>0.5–1</v>
      </c>
    </row>
    <row r="285" spans="1:11" x14ac:dyDescent="0.35">
      <c r="A285" t="s">
        <v>1837</v>
      </c>
      <c r="B285" t="s">
        <v>1838</v>
      </c>
      <c r="C285">
        <v>1.2999999999999999E-3</v>
      </c>
      <c r="D285">
        <v>3.5000000000000001E-3</v>
      </c>
      <c r="E285">
        <v>1343123</v>
      </c>
      <c r="F285">
        <v>528180</v>
      </c>
      <c r="G285" t="s">
        <v>1842</v>
      </c>
      <c r="H285">
        <v>998930000</v>
      </c>
      <c r="I285">
        <f>Table_Cleaned_Data[[#This Row],[Volume (24h) USD]]/Table_Cleaned_Data[[#This Row],[Circulating_Supply($)]]</f>
        <v>5.2874575796101834E-4</v>
      </c>
      <c r="J285">
        <f>RANK(Table_Cleaned_Data[[#This Row],[Market Cap]],Table_Cleaned_Data[Market Cap],0)</f>
        <v>284</v>
      </c>
      <c r="K285" t="str">
        <f t="shared" si="4"/>
        <v>0–0.5</v>
      </c>
    </row>
    <row r="286" spans="1:11" x14ac:dyDescent="0.35">
      <c r="A286" t="s">
        <v>1843</v>
      </c>
      <c r="B286" t="s">
        <v>1844</v>
      </c>
      <c r="C286">
        <v>5.1000000000000004E-3</v>
      </c>
      <c r="D286">
        <v>2.9999999999999997E-4</v>
      </c>
      <c r="E286">
        <v>1340163</v>
      </c>
      <c r="F286">
        <v>94589</v>
      </c>
      <c r="G286" t="s">
        <v>1848</v>
      </c>
      <c r="H286">
        <v>263240000</v>
      </c>
      <c r="I286">
        <f>Table_Cleaned_Data[[#This Row],[Volume (24h) USD]]/Table_Cleaned_Data[[#This Row],[Circulating_Supply($)]]</f>
        <v>3.5932609025983892E-4</v>
      </c>
      <c r="J286">
        <f>RANK(Table_Cleaned_Data[[#This Row],[Market Cap]],Table_Cleaned_Data[Market Cap],0)</f>
        <v>285</v>
      </c>
      <c r="K286" t="str">
        <f t="shared" si="4"/>
        <v>0–0.5</v>
      </c>
    </row>
    <row r="287" spans="1:11" x14ac:dyDescent="0.35">
      <c r="A287" t="s">
        <v>1849</v>
      </c>
      <c r="B287" t="s">
        <v>1850</v>
      </c>
      <c r="C287">
        <v>1.78</v>
      </c>
      <c r="D287">
        <v>0</v>
      </c>
      <c r="E287">
        <v>1335229</v>
      </c>
      <c r="F287">
        <v>14</v>
      </c>
      <c r="G287" t="s">
        <v>1854</v>
      </c>
      <c r="H287">
        <v>745990</v>
      </c>
      <c r="I287">
        <f>Table_Cleaned_Data[[#This Row],[Volume (24h) USD]]/Table_Cleaned_Data[[#This Row],[Circulating_Supply($)]]</f>
        <v>1.8767007600638077E-5</v>
      </c>
      <c r="J287">
        <f>RANK(Table_Cleaned_Data[[#This Row],[Market Cap]],Table_Cleaned_Data[Market Cap],0)</f>
        <v>286</v>
      </c>
      <c r="K287" t="str">
        <f t="shared" si="4"/>
        <v>1–2</v>
      </c>
    </row>
    <row r="288" spans="1:11" x14ac:dyDescent="0.35">
      <c r="A288" t="s">
        <v>1855</v>
      </c>
      <c r="B288" t="s">
        <v>1856</v>
      </c>
      <c r="C288">
        <v>1.2999999999999999E-3</v>
      </c>
      <c r="D288">
        <v>4.3E-3</v>
      </c>
      <c r="E288">
        <v>1333124</v>
      </c>
      <c r="F288">
        <v>876529</v>
      </c>
      <c r="G288" t="s">
        <v>1860</v>
      </c>
      <c r="H288">
        <v>994840000</v>
      </c>
      <c r="I288">
        <f>Table_Cleaned_Data[[#This Row],[Volume (24h) USD]]/Table_Cleaned_Data[[#This Row],[Circulating_Supply($)]]</f>
        <v>8.8107534879980701E-4</v>
      </c>
      <c r="J288">
        <f>RANK(Table_Cleaned_Data[[#This Row],[Market Cap]],Table_Cleaned_Data[Market Cap],0)</f>
        <v>287</v>
      </c>
      <c r="K288" t="str">
        <f t="shared" si="4"/>
        <v>0–0.5</v>
      </c>
    </row>
    <row r="289" spans="1:11" x14ac:dyDescent="0.35">
      <c r="A289" t="s">
        <v>1861</v>
      </c>
      <c r="B289" t="s">
        <v>1862</v>
      </c>
      <c r="C289">
        <v>0.65690000000000004</v>
      </c>
      <c r="D289">
        <v>1.7100000000000001E-2</v>
      </c>
      <c r="E289">
        <v>1330087</v>
      </c>
      <c r="F289">
        <v>3526156</v>
      </c>
      <c r="G289" t="s">
        <v>1866</v>
      </c>
      <c r="H289">
        <v>2020000</v>
      </c>
      <c r="I289">
        <f>Table_Cleaned_Data[[#This Row],[Volume (24h) USD]]/Table_Cleaned_Data[[#This Row],[Circulating_Supply($)]]</f>
        <v>1.7456217821782178</v>
      </c>
      <c r="J289">
        <f>RANK(Table_Cleaned_Data[[#This Row],[Market Cap]],Table_Cleaned_Data[Market Cap],0)</f>
        <v>288</v>
      </c>
      <c r="K289" t="str">
        <f t="shared" si="4"/>
        <v>0.5–1</v>
      </c>
    </row>
    <row r="290" spans="1:11" x14ac:dyDescent="0.35">
      <c r="A290" t="s">
        <v>1867</v>
      </c>
      <c r="B290" t="s">
        <v>1868</v>
      </c>
      <c r="C290">
        <v>1.7000000000000001E-2</v>
      </c>
      <c r="D290">
        <v>1E-4</v>
      </c>
      <c r="E290">
        <v>1329457</v>
      </c>
      <c r="F290">
        <v>5527</v>
      </c>
      <c r="G290" t="s">
        <v>1872</v>
      </c>
      <c r="H290">
        <v>78230000</v>
      </c>
      <c r="I290">
        <f>Table_Cleaned_Data[[#This Row],[Volume (24h) USD]]/Table_Cleaned_Data[[#This Row],[Circulating_Supply($)]]</f>
        <v>7.065064553240445E-5</v>
      </c>
      <c r="J290">
        <f>RANK(Table_Cleaned_Data[[#This Row],[Market Cap]],Table_Cleaned_Data[Market Cap],0)</f>
        <v>289</v>
      </c>
      <c r="K290" t="str">
        <f t="shared" si="4"/>
        <v>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866F-1514-43C1-9D4F-AF49096D1821}">
  <dimension ref="A2:T301"/>
  <sheetViews>
    <sheetView topLeftCell="D42" zoomScale="42" zoomScaleNormal="50" workbookViewId="0">
      <selection activeCell="F63" sqref="F61:G82"/>
    </sheetView>
  </sheetViews>
  <sheetFormatPr defaultRowHeight="14.5" x14ac:dyDescent="0.35"/>
  <cols>
    <col min="1" max="1" width="20.90625" bestFit="1" customWidth="1"/>
    <col min="2" max="2" width="40.54296875" bestFit="1" customWidth="1"/>
    <col min="3" max="3" width="23.90625" bestFit="1" customWidth="1"/>
    <col min="4" max="4" width="38.36328125" bestFit="1" customWidth="1"/>
    <col min="5" max="5" width="26" bestFit="1" customWidth="1"/>
    <col min="6" max="6" width="50.90625" bestFit="1" customWidth="1"/>
    <col min="7" max="7" width="23.90625" bestFit="1" customWidth="1"/>
    <col min="8" max="11" width="11.81640625" bestFit="1" customWidth="1"/>
    <col min="12" max="12" width="22.7265625" customWidth="1"/>
    <col min="13" max="13" width="11.81640625" bestFit="1" customWidth="1"/>
    <col min="14" max="14" width="34.90625" bestFit="1" customWidth="1"/>
    <col min="15" max="15" width="19.54296875" customWidth="1"/>
    <col min="16" max="16" width="19.453125" customWidth="1"/>
    <col min="17" max="17" width="11.81640625" bestFit="1" customWidth="1"/>
    <col min="18" max="18" width="10.81640625" bestFit="1" customWidth="1"/>
    <col min="19" max="19" width="51.6328125" bestFit="1" customWidth="1"/>
    <col min="20" max="20" width="23.453125" bestFit="1" customWidth="1"/>
    <col min="21" max="26" width="11.81640625" bestFit="1" customWidth="1"/>
    <col min="27" max="27" width="10.81640625" bestFit="1" customWidth="1"/>
    <col min="28" max="38" width="11.81640625" bestFit="1" customWidth="1"/>
    <col min="39" max="39" width="10.81640625" bestFit="1" customWidth="1"/>
    <col min="40" max="46" width="11.81640625" bestFit="1" customWidth="1"/>
    <col min="47" max="47" width="10.81640625" bestFit="1" customWidth="1"/>
    <col min="48" max="64" width="11.81640625" bestFit="1" customWidth="1"/>
    <col min="65" max="65" width="9.81640625" bestFit="1" customWidth="1"/>
    <col min="66" max="70" width="11.81640625" bestFit="1" customWidth="1"/>
    <col min="71" max="71" width="10.81640625" bestFit="1" customWidth="1"/>
    <col min="72" max="79" width="11.81640625" bestFit="1" customWidth="1"/>
    <col min="80" max="80" width="10.81640625" bestFit="1" customWidth="1"/>
    <col min="81" max="81" width="11.81640625" bestFit="1" customWidth="1"/>
    <col min="82" max="82" width="10.81640625" bestFit="1" customWidth="1"/>
    <col min="83" max="94" width="11.81640625" bestFit="1" customWidth="1"/>
    <col min="95" max="95" width="10.81640625" bestFit="1" customWidth="1"/>
    <col min="96" max="107" width="11.81640625" bestFit="1" customWidth="1"/>
    <col min="108" max="108" width="10.81640625" bestFit="1" customWidth="1"/>
    <col min="109" max="109" width="11.81640625" bestFit="1" customWidth="1"/>
    <col min="110" max="110" width="10.81640625" bestFit="1" customWidth="1"/>
    <col min="111" max="122" width="11.81640625" bestFit="1" customWidth="1"/>
    <col min="123" max="123" width="10.81640625" bestFit="1" customWidth="1"/>
    <col min="124" max="133" width="11.81640625" bestFit="1" customWidth="1"/>
    <col min="134" max="134" width="10.81640625" bestFit="1" customWidth="1"/>
    <col min="135" max="139" width="11.81640625" bestFit="1" customWidth="1"/>
    <col min="140" max="140" width="10.81640625" bestFit="1" customWidth="1"/>
    <col min="141" max="148" width="11.81640625" bestFit="1" customWidth="1"/>
    <col min="149" max="149" width="9.81640625" bestFit="1" customWidth="1"/>
    <col min="150" max="152" width="11.81640625" bestFit="1" customWidth="1"/>
    <col min="153" max="153" width="10.81640625" bestFit="1" customWidth="1"/>
    <col min="154" max="154" width="11.81640625" bestFit="1" customWidth="1"/>
    <col min="155" max="155" width="10.81640625" bestFit="1" customWidth="1"/>
    <col min="156" max="158" width="11.81640625" bestFit="1" customWidth="1"/>
    <col min="159" max="159" width="10.81640625" bestFit="1" customWidth="1"/>
    <col min="160" max="167" width="11.81640625" bestFit="1" customWidth="1"/>
    <col min="168" max="168" width="10.81640625" bestFit="1" customWidth="1"/>
    <col min="169" max="169" width="11.81640625" bestFit="1" customWidth="1"/>
    <col min="170" max="171" width="10.81640625" bestFit="1" customWidth="1"/>
    <col min="172" max="175" width="11.81640625" bestFit="1" customWidth="1"/>
    <col min="176" max="176" width="10.81640625" bestFit="1" customWidth="1"/>
    <col min="177" max="191" width="11.81640625" bestFit="1" customWidth="1"/>
    <col min="192" max="192" width="10.81640625" bestFit="1" customWidth="1"/>
    <col min="193" max="195" width="11.81640625" bestFit="1" customWidth="1"/>
    <col min="196" max="196" width="10.81640625" bestFit="1" customWidth="1"/>
    <col min="197" max="197" width="11.81640625" bestFit="1" customWidth="1"/>
    <col min="198" max="198" width="10.81640625" bestFit="1" customWidth="1"/>
    <col min="199" max="199" width="11.81640625" bestFit="1" customWidth="1"/>
    <col min="200" max="200" width="10.81640625" bestFit="1" customWidth="1"/>
    <col min="201" max="210" width="11.81640625" bestFit="1" customWidth="1"/>
    <col min="211" max="211" width="10.81640625" bestFit="1" customWidth="1"/>
    <col min="212" max="216" width="11.81640625" bestFit="1" customWidth="1"/>
    <col min="217" max="218" width="10.81640625" bestFit="1" customWidth="1"/>
    <col min="219" max="220" width="11.81640625" bestFit="1" customWidth="1"/>
    <col min="221" max="221" width="10.81640625" bestFit="1" customWidth="1"/>
    <col min="222" max="228" width="11.81640625" bestFit="1" customWidth="1"/>
    <col min="229" max="229" width="10.81640625" bestFit="1" customWidth="1"/>
    <col min="230" max="241" width="11.81640625" bestFit="1" customWidth="1"/>
    <col min="242" max="242" width="10.81640625" bestFit="1" customWidth="1"/>
    <col min="243" max="256" width="11.81640625" bestFit="1" customWidth="1"/>
    <col min="257" max="257" width="10.81640625" bestFit="1" customWidth="1"/>
    <col min="258" max="263" width="11.81640625" bestFit="1" customWidth="1"/>
    <col min="264" max="264" width="9.81640625" bestFit="1" customWidth="1"/>
    <col min="265" max="267" width="11.81640625" bestFit="1" customWidth="1"/>
    <col min="268" max="268" width="10.81640625" bestFit="1" customWidth="1"/>
    <col min="269" max="283" width="11.81640625" bestFit="1" customWidth="1"/>
    <col min="284" max="284" width="10.81640625" bestFit="1" customWidth="1"/>
    <col min="285" max="290" width="11.81640625" bestFit="1" customWidth="1"/>
    <col min="291" max="291" width="7.36328125" bestFit="1" customWidth="1"/>
    <col min="292" max="292" width="11.81640625" bestFit="1" customWidth="1"/>
  </cols>
  <sheetData>
    <row r="2" spans="1:20" x14ac:dyDescent="0.35">
      <c r="A2" s="2" t="s">
        <v>0</v>
      </c>
      <c r="B2" t="s">
        <v>1880</v>
      </c>
    </row>
    <row r="3" spans="1:20" x14ac:dyDescent="0.35">
      <c r="A3" s="3" t="s">
        <v>14</v>
      </c>
      <c r="B3" s="5">
        <v>88617.76</v>
      </c>
    </row>
    <row r="4" spans="1:20" x14ac:dyDescent="0.35">
      <c r="A4" s="3" t="s">
        <v>447</v>
      </c>
      <c r="B4" s="5">
        <v>4356.1000000000004</v>
      </c>
    </row>
    <row r="5" spans="1:20" x14ac:dyDescent="0.35">
      <c r="A5" s="3" t="s">
        <v>1054</v>
      </c>
      <c r="B5" s="5">
        <v>4354.6000000000004</v>
      </c>
    </row>
    <row r="6" spans="1:20" x14ac:dyDescent="0.35">
      <c r="A6" s="3" t="s">
        <v>21</v>
      </c>
      <c r="B6" s="5">
        <v>2995.26</v>
      </c>
    </row>
    <row r="7" spans="1:20" x14ac:dyDescent="0.35">
      <c r="A7" s="3" t="s">
        <v>35</v>
      </c>
      <c r="B7" s="5">
        <v>855.25</v>
      </c>
    </row>
    <row r="8" spans="1:20" x14ac:dyDescent="0.35">
      <c r="A8" s="3" t="s">
        <v>733</v>
      </c>
      <c r="B8" s="5">
        <v>619.67999999999995</v>
      </c>
    </row>
    <row r="9" spans="1:20" x14ac:dyDescent="0.35">
      <c r="A9" s="3" t="s">
        <v>80</v>
      </c>
      <c r="B9" s="5">
        <v>586.88</v>
      </c>
    </row>
    <row r="10" spans="1:20" x14ac:dyDescent="0.35">
      <c r="A10" s="3" t="s">
        <v>1559</v>
      </c>
      <c r="B10" s="5">
        <v>486.67</v>
      </c>
      <c r="O10" t="s">
        <v>1878</v>
      </c>
      <c r="P10">
        <f>GETPIVOTDATA("Market Cap",$S$11)</f>
        <v>2820867780409</v>
      </c>
    </row>
    <row r="11" spans="1:20" x14ac:dyDescent="0.35">
      <c r="A11" s="3" t="s">
        <v>93</v>
      </c>
      <c r="B11" s="5">
        <v>469.29</v>
      </c>
      <c r="O11" t="s">
        <v>0</v>
      </c>
      <c r="P11" t="s">
        <v>1884</v>
      </c>
      <c r="S11" s="2" t="s">
        <v>0</v>
      </c>
      <c r="T11" t="s">
        <v>1884</v>
      </c>
    </row>
    <row r="12" spans="1:20" x14ac:dyDescent="0.35">
      <c r="A12" s="3" t="s">
        <v>947</v>
      </c>
      <c r="B12" s="5">
        <v>307.41000000000003</v>
      </c>
      <c r="O12" t="str">
        <f>S12</f>
        <v>0x0.ai</v>
      </c>
      <c r="P12">
        <f>T12</f>
        <v>7953928</v>
      </c>
      <c r="S12" s="3" t="s">
        <v>1129</v>
      </c>
      <c r="T12" s="5">
        <v>7953928</v>
      </c>
    </row>
    <row r="13" spans="1:20" x14ac:dyDescent="0.35">
      <c r="A13" s="3" t="s">
        <v>1878</v>
      </c>
      <c r="B13" s="5">
        <v>103648.9</v>
      </c>
      <c r="O13" t="str">
        <f t="shared" ref="O13:O16" si="0">S13</f>
        <v>Act I : The AI Prophecy</v>
      </c>
      <c r="P13">
        <f t="shared" ref="P13:P16" si="1">T13</f>
        <v>37344308</v>
      </c>
      <c r="S13" s="3" t="s">
        <v>524</v>
      </c>
      <c r="T13" s="5">
        <v>37344308</v>
      </c>
    </row>
    <row r="14" spans="1:20" x14ac:dyDescent="0.35">
      <c r="O14" t="str">
        <f t="shared" si="0"/>
        <v>Adshares</v>
      </c>
      <c r="P14">
        <f t="shared" si="1"/>
        <v>27987125</v>
      </c>
      <c r="S14" s="3" t="s">
        <v>619</v>
      </c>
      <c r="T14" s="5">
        <v>27987125</v>
      </c>
    </row>
    <row r="15" spans="1:20" x14ac:dyDescent="0.35">
      <c r="O15" t="str">
        <f t="shared" si="0"/>
        <v>aelf</v>
      </c>
      <c r="P15">
        <f t="shared" si="1"/>
        <v>76645429</v>
      </c>
      <c r="S15" s="3" t="s">
        <v>387</v>
      </c>
      <c r="T15" s="5">
        <v>76645429</v>
      </c>
    </row>
    <row r="16" spans="1:20" x14ac:dyDescent="0.35">
      <c r="O16" t="str">
        <f t="shared" si="0"/>
        <v>Aerobud</v>
      </c>
      <c r="P16">
        <f t="shared" si="1"/>
        <v>2061941</v>
      </c>
      <c r="S16" s="3" t="s">
        <v>1607</v>
      </c>
      <c r="T16" s="5">
        <v>2061941</v>
      </c>
    </row>
    <row r="17" spans="1:20" x14ac:dyDescent="0.35">
      <c r="O17" t="s">
        <v>1885</v>
      </c>
      <c r="P17">
        <f>P10-SUM(P12:P16)</f>
        <v>2820715787678</v>
      </c>
      <c r="S17" s="3" t="s">
        <v>551</v>
      </c>
      <c r="T17" s="5">
        <v>37194866</v>
      </c>
    </row>
    <row r="18" spans="1:20" x14ac:dyDescent="0.35">
      <c r="S18" s="3" t="s">
        <v>970</v>
      </c>
      <c r="T18" s="5">
        <v>12520555</v>
      </c>
    </row>
    <row r="19" spans="1:20" x14ac:dyDescent="0.35">
      <c r="S19" s="3" t="s">
        <v>1736</v>
      </c>
      <c r="T19" s="5">
        <v>1647748</v>
      </c>
    </row>
    <row r="20" spans="1:20" x14ac:dyDescent="0.35">
      <c r="S20" s="3" t="s">
        <v>199</v>
      </c>
      <c r="T20" s="5">
        <v>351671089</v>
      </c>
    </row>
    <row r="21" spans="1:20" x14ac:dyDescent="0.35">
      <c r="S21" s="3" t="s">
        <v>1242</v>
      </c>
      <c r="T21" s="5">
        <v>4972149</v>
      </c>
    </row>
    <row r="22" spans="1:20" x14ac:dyDescent="0.35">
      <c r="S22" s="3" t="s">
        <v>394</v>
      </c>
      <c r="T22" s="5">
        <v>76634277</v>
      </c>
    </row>
    <row r="23" spans="1:20" x14ac:dyDescent="0.35">
      <c r="S23" s="3" t="s">
        <v>941</v>
      </c>
      <c r="T23" s="5">
        <v>12792501</v>
      </c>
    </row>
    <row r="24" spans="1:20" x14ac:dyDescent="0.35">
      <c r="S24" s="3" t="s">
        <v>892</v>
      </c>
      <c r="T24" s="5">
        <v>13123357</v>
      </c>
    </row>
    <row r="25" spans="1:20" x14ac:dyDescent="0.35">
      <c r="A25" s="2" t="s">
        <v>0</v>
      </c>
      <c r="B25" t="s">
        <v>1881</v>
      </c>
      <c r="C25" s="3"/>
      <c r="S25" s="3" t="s">
        <v>947</v>
      </c>
      <c r="T25" s="5">
        <v>12758781</v>
      </c>
    </row>
    <row r="26" spans="1:20" x14ac:dyDescent="0.35">
      <c r="A26" s="3" t="s">
        <v>843</v>
      </c>
      <c r="B26" s="5">
        <v>9.5899999999999999E-2</v>
      </c>
      <c r="S26" s="3" t="s">
        <v>1849</v>
      </c>
      <c r="T26" s="5">
        <v>1335229</v>
      </c>
    </row>
    <row r="27" spans="1:20" x14ac:dyDescent="0.35">
      <c r="A27" s="3" t="s">
        <v>777</v>
      </c>
      <c r="B27" s="5">
        <v>3.9699999999999999E-2</v>
      </c>
      <c r="S27" s="3" t="s">
        <v>702</v>
      </c>
      <c r="T27" s="5">
        <v>21183785</v>
      </c>
    </row>
    <row r="28" spans="1:20" x14ac:dyDescent="0.35">
      <c r="A28" s="3" t="s">
        <v>1594</v>
      </c>
      <c r="B28" s="5">
        <v>7.9399999999999998E-2</v>
      </c>
      <c r="S28" s="3" t="s">
        <v>1742</v>
      </c>
      <c r="T28" s="5">
        <v>1646017</v>
      </c>
    </row>
    <row r="29" spans="1:20" x14ac:dyDescent="0.35">
      <c r="A29" s="3" t="s">
        <v>1122</v>
      </c>
      <c r="B29" s="5">
        <v>4.7600000000000003E-2</v>
      </c>
      <c r="S29" s="3" t="s">
        <v>279</v>
      </c>
      <c r="T29" s="5">
        <v>247500195</v>
      </c>
    </row>
    <row r="30" spans="1:20" x14ac:dyDescent="0.35">
      <c r="A30" s="3" t="s">
        <v>453</v>
      </c>
      <c r="B30" s="5">
        <v>5.4899999999999997E-2</v>
      </c>
      <c r="S30" s="3" t="s">
        <v>1451</v>
      </c>
      <c r="T30" s="5">
        <v>3169190</v>
      </c>
    </row>
    <row r="31" spans="1:20" x14ac:dyDescent="0.35">
      <c r="A31" s="3" t="s">
        <v>421</v>
      </c>
      <c r="B31" s="5">
        <v>0.1008</v>
      </c>
      <c r="S31" s="3" t="s">
        <v>843</v>
      </c>
      <c r="T31" s="5">
        <v>15954600</v>
      </c>
    </row>
    <row r="32" spans="1:20" x14ac:dyDescent="0.35">
      <c r="A32" s="3" t="s">
        <v>598</v>
      </c>
      <c r="B32" s="5">
        <v>0.1186</v>
      </c>
      <c r="S32" s="3" t="s">
        <v>1347</v>
      </c>
      <c r="T32" s="5">
        <v>4071360</v>
      </c>
    </row>
    <row r="33" spans="1:20" x14ac:dyDescent="0.35">
      <c r="A33" s="3" t="s">
        <v>976</v>
      </c>
      <c r="B33" s="5">
        <v>6.8000000000000005E-2</v>
      </c>
      <c r="S33" s="3" t="s">
        <v>1219</v>
      </c>
      <c r="T33" s="5">
        <v>6127767</v>
      </c>
    </row>
    <row r="34" spans="1:20" x14ac:dyDescent="0.35">
      <c r="A34" s="3" t="s">
        <v>1675</v>
      </c>
      <c r="B34" s="5">
        <v>3.5799999999999998E-2</v>
      </c>
      <c r="S34" s="3" t="s">
        <v>764</v>
      </c>
      <c r="T34" s="5">
        <v>20691287</v>
      </c>
    </row>
    <row r="35" spans="1:20" x14ac:dyDescent="0.35">
      <c r="A35" s="3" t="s">
        <v>1141</v>
      </c>
      <c r="B35" s="5">
        <v>0.04</v>
      </c>
      <c r="S35" s="3" t="s">
        <v>1024</v>
      </c>
      <c r="T35" s="5">
        <v>10134613</v>
      </c>
    </row>
    <row r="36" spans="1:20" x14ac:dyDescent="0.35">
      <c r="A36" s="3" t="s">
        <v>1878</v>
      </c>
      <c r="B36" s="5">
        <v>0.68070000000000008</v>
      </c>
      <c r="S36" s="3" t="s">
        <v>868</v>
      </c>
      <c r="T36" s="5">
        <v>15826267</v>
      </c>
    </row>
    <row r="37" spans="1:20" x14ac:dyDescent="0.35">
      <c r="S37" s="3" t="s">
        <v>922</v>
      </c>
      <c r="T37" s="5">
        <v>12956897</v>
      </c>
    </row>
    <row r="38" spans="1:20" x14ac:dyDescent="0.35">
      <c r="S38" s="3" t="s">
        <v>558</v>
      </c>
      <c r="T38" s="5">
        <v>37194605</v>
      </c>
    </row>
    <row r="39" spans="1:20" x14ac:dyDescent="0.35">
      <c r="S39" s="3" t="s">
        <v>662</v>
      </c>
      <c r="T39" s="5">
        <v>27319469</v>
      </c>
    </row>
    <row r="40" spans="1:20" x14ac:dyDescent="0.35">
      <c r="S40" s="3" t="s">
        <v>224</v>
      </c>
      <c r="T40" s="5">
        <v>729098862</v>
      </c>
    </row>
    <row r="41" spans="1:20" x14ac:dyDescent="0.35">
      <c r="L41" t="s">
        <v>1886</v>
      </c>
      <c r="N41" t="s">
        <v>1884</v>
      </c>
      <c r="S41" s="3" t="s">
        <v>1018</v>
      </c>
      <c r="T41" s="5">
        <v>10144538</v>
      </c>
    </row>
    <row r="42" spans="1:20" x14ac:dyDescent="0.35">
      <c r="N42" s="5">
        <v>2820867780409</v>
      </c>
      <c r="S42" s="3" t="s">
        <v>929</v>
      </c>
      <c r="T42" s="5">
        <v>12915133</v>
      </c>
    </row>
    <row r="43" spans="1:20" x14ac:dyDescent="0.35">
      <c r="B43" s="2" t="s">
        <v>1877</v>
      </c>
      <c r="C43" t="s">
        <v>1879</v>
      </c>
      <c r="D43" t="s">
        <v>1883</v>
      </c>
      <c r="L43" t="s">
        <v>1887</v>
      </c>
      <c r="S43" s="3" t="s">
        <v>1583</v>
      </c>
      <c r="T43" s="5">
        <v>2569001</v>
      </c>
    </row>
    <row r="44" spans="1:20" x14ac:dyDescent="0.35">
      <c r="B44" s="3" t="s">
        <v>947</v>
      </c>
      <c r="C44" s="5">
        <v>307.41000000000003</v>
      </c>
      <c r="D44" s="5">
        <v>7.0980963855421688</v>
      </c>
      <c r="N44" t="s">
        <v>1879</v>
      </c>
      <c r="S44" s="3" t="s">
        <v>14</v>
      </c>
      <c r="T44" s="5">
        <v>1769018049912</v>
      </c>
    </row>
    <row r="45" spans="1:20" x14ac:dyDescent="0.35">
      <c r="B45" s="3" t="s">
        <v>14</v>
      </c>
      <c r="C45" s="5">
        <v>88617.76</v>
      </c>
      <c r="D45" s="5">
        <v>796.59852344689375</v>
      </c>
      <c r="L45" t="s">
        <v>1888</v>
      </c>
      <c r="N45" s="5">
        <v>105202.93029999998</v>
      </c>
      <c r="S45" s="3" t="s">
        <v>80</v>
      </c>
      <c r="T45" s="5">
        <v>11719903275</v>
      </c>
    </row>
    <row r="46" spans="1:20" x14ac:dyDescent="0.35">
      <c r="B46" s="3" t="s">
        <v>80</v>
      </c>
      <c r="C46" s="5">
        <v>586.88</v>
      </c>
      <c r="D46" s="5">
        <v>14.735925501002004</v>
      </c>
      <c r="S46" s="3" t="s">
        <v>166</v>
      </c>
      <c r="T46" s="5">
        <v>373513513</v>
      </c>
    </row>
    <row r="47" spans="1:20" x14ac:dyDescent="0.35">
      <c r="B47" s="3" t="s">
        <v>35</v>
      </c>
      <c r="C47" s="5">
        <v>855.25</v>
      </c>
      <c r="D47" s="5">
        <v>10.036704828287229</v>
      </c>
      <c r="L47" t="s">
        <v>1889</v>
      </c>
      <c r="N47" t="s">
        <v>1882</v>
      </c>
      <c r="S47" s="3" t="s">
        <v>1541</v>
      </c>
      <c r="T47" s="5">
        <v>2599402</v>
      </c>
    </row>
    <row r="48" spans="1:20" x14ac:dyDescent="0.35">
      <c r="B48" s="3" t="s">
        <v>21</v>
      </c>
      <c r="C48" s="5">
        <v>2995.26</v>
      </c>
      <c r="D48" s="5">
        <v>67.996661918965941</v>
      </c>
      <c r="N48" s="5">
        <v>3753397968469910</v>
      </c>
      <c r="S48" s="3" t="s">
        <v>1428</v>
      </c>
      <c r="T48" s="5">
        <v>3187133</v>
      </c>
    </row>
    <row r="49" spans="2:20" x14ac:dyDescent="0.35">
      <c r="B49" s="3" t="s">
        <v>733</v>
      </c>
      <c r="C49" s="5">
        <v>619.67999999999995</v>
      </c>
      <c r="D49" s="5">
        <v>8.9811365664980656</v>
      </c>
      <c r="L49" t="s">
        <v>1890</v>
      </c>
      <c r="M49" t="str">
        <f>A3</f>
        <v>Bitcoin</v>
      </c>
      <c r="S49" s="3" t="s">
        <v>120</v>
      </c>
      <c r="T49" s="5">
        <v>391089084</v>
      </c>
    </row>
    <row r="50" spans="2:20" x14ac:dyDescent="0.35">
      <c r="B50" s="3" t="s">
        <v>447</v>
      </c>
      <c r="C50" s="5">
        <v>4356.1000000000004</v>
      </c>
      <c r="D50" s="5">
        <v>10.069775187343881</v>
      </c>
      <c r="S50" s="3" t="s">
        <v>1383</v>
      </c>
      <c r="T50" s="5">
        <v>4013522</v>
      </c>
    </row>
    <row r="51" spans="2:20" x14ac:dyDescent="0.35">
      <c r="B51" s="3" t="s">
        <v>1559</v>
      </c>
      <c r="C51" s="5">
        <v>486.67</v>
      </c>
      <c r="D51" s="5">
        <v>41.506578947368418</v>
      </c>
      <c r="L51" t="s">
        <v>1891</v>
      </c>
      <c r="M51">
        <f>B3</f>
        <v>88617.76</v>
      </c>
      <c r="S51" s="3" t="s">
        <v>777</v>
      </c>
      <c r="T51" s="5">
        <v>20653599</v>
      </c>
    </row>
    <row r="52" spans="2:20" x14ac:dyDescent="0.35">
      <c r="B52" s="3" t="s">
        <v>93</v>
      </c>
      <c r="C52" s="5">
        <v>469.29</v>
      </c>
      <c r="D52" s="5">
        <v>11.575068546637745</v>
      </c>
      <c r="S52" s="3" t="s">
        <v>1237</v>
      </c>
      <c r="T52" s="5">
        <v>6103902</v>
      </c>
    </row>
    <row r="53" spans="2:20" x14ac:dyDescent="0.35">
      <c r="B53" s="3" t="s">
        <v>1054</v>
      </c>
      <c r="C53" s="5">
        <v>4354.6000000000004</v>
      </c>
      <c r="D53" s="5">
        <v>41.454545454545453</v>
      </c>
      <c r="S53" s="3" t="s">
        <v>35</v>
      </c>
      <c r="T53" s="5">
        <v>117794143481</v>
      </c>
    </row>
    <row r="54" spans="2:20" x14ac:dyDescent="0.35">
      <c r="B54" s="3" t="s">
        <v>1878</v>
      </c>
      <c r="C54" s="5">
        <v>103648.9</v>
      </c>
      <c r="D54" s="5">
        <v>1010.0530167830849</v>
      </c>
      <c r="S54" s="3" t="s">
        <v>1498</v>
      </c>
      <c r="T54" s="5">
        <v>3113946</v>
      </c>
    </row>
    <row r="55" spans="2:20" x14ac:dyDescent="0.35">
      <c r="S55" s="3" t="s">
        <v>460</v>
      </c>
      <c r="T55" s="5">
        <v>52300293</v>
      </c>
    </row>
    <row r="56" spans="2:20" x14ac:dyDescent="0.35">
      <c r="S56" s="3" t="s">
        <v>1786</v>
      </c>
      <c r="T56" s="5">
        <v>1364927</v>
      </c>
    </row>
    <row r="57" spans="2:20" x14ac:dyDescent="0.35">
      <c r="S57" s="3" t="s">
        <v>1097</v>
      </c>
      <c r="T57" s="5">
        <v>8024621</v>
      </c>
    </row>
    <row r="58" spans="2:20" x14ac:dyDescent="0.35">
      <c r="S58" s="3" t="s">
        <v>1284</v>
      </c>
      <c r="T58" s="5">
        <v>4892467</v>
      </c>
    </row>
    <row r="59" spans="2:20" x14ac:dyDescent="0.35">
      <c r="S59" s="3" t="s">
        <v>803</v>
      </c>
      <c r="T59" s="5">
        <v>16331453</v>
      </c>
    </row>
    <row r="60" spans="2:20" x14ac:dyDescent="0.35">
      <c r="S60" s="3" t="s">
        <v>73</v>
      </c>
      <c r="T60" s="5">
        <v>13306597136</v>
      </c>
    </row>
    <row r="61" spans="2:20" x14ac:dyDescent="0.35">
      <c r="F61" s="2" t="s">
        <v>0</v>
      </c>
      <c r="G61" t="s">
        <v>1879</v>
      </c>
      <c r="S61" s="3" t="s">
        <v>374</v>
      </c>
      <c r="T61" s="5">
        <v>76913570</v>
      </c>
    </row>
    <row r="62" spans="2:20" x14ac:dyDescent="0.35">
      <c r="F62" s="3" t="s">
        <v>14</v>
      </c>
      <c r="G62" s="5">
        <v>88617.76</v>
      </c>
      <c r="S62" s="3" t="s">
        <v>1295</v>
      </c>
      <c r="T62" s="5">
        <v>4876749</v>
      </c>
    </row>
    <row r="63" spans="2:20" x14ac:dyDescent="0.35">
      <c r="F63" s="4" t="s">
        <v>15</v>
      </c>
      <c r="G63" s="5">
        <v>88617.76</v>
      </c>
      <c r="S63" s="3" t="s">
        <v>1463</v>
      </c>
      <c r="T63" s="5">
        <v>3161989</v>
      </c>
    </row>
    <row r="64" spans="2:20" x14ac:dyDescent="0.35">
      <c r="F64" s="3" t="s">
        <v>447</v>
      </c>
      <c r="G64" s="5">
        <v>4356.1000000000004</v>
      </c>
      <c r="S64" s="3" t="s">
        <v>1577</v>
      </c>
      <c r="T64" s="5">
        <v>2571470</v>
      </c>
    </row>
    <row r="65" spans="6:20" x14ac:dyDescent="0.35">
      <c r="F65" s="4" t="s">
        <v>448</v>
      </c>
      <c r="G65" s="5">
        <v>4356.1000000000004</v>
      </c>
      <c r="S65" s="3" t="s">
        <v>770</v>
      </c>
      <c r="T65" s="5">
        <v>20664141</v>
      </c>
    </row>
    <row r="66" spans="6:20" x14ac:dyDescent="0.35">
      <c r="F66" s="3" t="s">
        <v>1054</v>
      </c>
      <c r="G66" s="5">
        <v>4354.6000000000004</v>
      </c>
      <c r="S66" s="3" t="s">
        <v>745</v>
      </c>
      <c r="T66" s="5">
        <v>20783563</v>
      </c>
    </row>
    <row r="67" spans="6:20" x14ac:dyDescent="0.35">
      <c r="F67" s="4" t="s">
        <v>1055</v>
      </c>
      <c r="G67" s="5">
        <v>4354.6000000000004</v>
      </c>
      <c r="S67" s="3" t="s">
        <v>86</v>
      </c>
      <c r="T67" s="5">
        <v>8911264583</v>
      </c>
    </row>
    <row r="68" spans="6:20" x14ac:dyDescent="0.35">
      <c r="F68" s="3" t="s">
        <v>21</v>
      </c>
      <c r="G68" s="5">
        <v>2995.26</v>
      </c>
      <c r="S68" s="3" t="s">
        <v>140</v>
      </c>
      <c r="T68" s="5">
        <v>377832305</v>
      </c>
    </row>
    <row r="69" spans="6:20" x14ac:dyDescent="0.35">
      <c r="F69" s="4" t="s">
        <v>22</v>
      </c>
      <c r="G69" s="5">
        <v>2995.26</v>
      </c>
      <c r="S69" s="3" t="s">
        <v>639</v>
      </c>
      <c r="T69" s="5">
        <v>27523754</v>
      </c>
    </row>
    <row r="70" spans="6:20" x14ac:dyDescent="0.35">
      <c r="F70" s="3" t="s">
        <v>35</v>
      </c>
      <c r="G70" s="5">
        <v>855.25</v>
      </c>
      <c r="S70" s="3" t="s">
        <v>797</v>
      </c>
      <c r="T70" s="5">
        <v>16385663</v>
      </c>
    </row>
    <row r="71" spans="6:20" x14ac:dyDescent="0.35">
      <c r="F71" s="4" t="s">
        <v>35</v>
      </c>
      <c r="G71" s="5">
        <v>855.25</v>
      </c>
      <c r="S71" s="3" t="s">
        <v>7</v>
      </c>
      <c r="T71" s="5">
        <v>6385658</v>
      </c>
    </row>
    <row r="72" spans="6:20" x14ac:dyDescent="0.35">
      <c r="F72" s="3" t="s">
        <v>733</v>
      </c>
      <c r="G72" s="5">
        <v>619.67999999999995</v>
      </c>
      <c r="S72" s="3" t="s">
        <v>1110</v>
      </c>
      <c r="T72" s="5">
        <v>7979231</v>
      </c>
    </row>
    <row r="73" spans="6:20" x14ac:dyDescent="0.35">
      <c r="F73" s="4" t="s">
        <v>734</v>
      </c>
      <c r="G73" s="5">
        <v>619.67999999999995</v>
      </c>
      <c r="S73" s="3" t="s">
        <v>185</v>
      </c>
      <c r="T73" s="5">
        <v>368504918</v>
      </c>
    </row>
    <row r="74" spans="6:20" x14ac:dyDescent="0.35">
      <c r="F74" s="3" t="s">
        <v>80</v>
      </c>
      <c r="G74" s="5">
        <v>586.88</v>
      </c>
      <c r="S74" s="3" t="s">
        <v>518</v>
      </c>
      <c r="T74" s="5">
        <v>37475389</v>
      </c>
    </row>
    <row r="75" spans="6:20" x14ac:dyDescent="0.35">
      <c r="F75" s="4" t="s">
        <v>81</v>
      </c>
      <c r="G75" s="5">
        <v>586.88</v>
      </c>
      <c r="S75" s="3" t="s">
        <v>886</v>
      </c>
      <c r="T75" s="5">
        <v>13134119</v>
      </c>
    </row>
    <row r="76" spans="6:20" x14ac:dyDescent="0.35">
      <c r="F76" s="3" t="s">
        <v>1559</v>
      </c>
      <c r="G76" s="5">
        <v>486.67</v>
      </c>
      <c r="S76" s="3" t="s">
        <v>572</v>
      </c>
      <c r="T76" s="5">
        <v>37052831</v>
      </c>
    </row>
    <row r="77" spans="6:20" x14ac:dyDescent="0.35">
      <c r="F77" s="4" t="s">
        <v>1560</v>
      </c>
      <c r="G77" s="5">
        <v>486.67</v>
      </c>
      <c r="S77" s="3" t="s">
        <v>1594</v>
      </c>
      <c r="T77" s="5">
        <v>2557395</v>
      </c>
    </row>
    <row r="78" spans="6:20" x14ac:dyDescent="0.35">
      <c r="F78" s="3" t="s">
        <v>93</v>
      </c>
      <c r="G78" s="5">
        <v>469.29</v>
      </c>
      <c r="S78" s="3" t="s">
        <v>1523</v>
      </c>
      <c r="T78" s="5">
        <v>2616371</v>
      </c>
    </row>
    <row r="79" spans="6:20" x14ac:dyDescent="0.35">
      <c r="F79" s="4" t="s">
        <v>94</v>
      </c>
      <c r="G79" s="5">
        <v>469.29</v>
      </c>
      <c r="S79" s="3" t="s">
        <v>1620</v>
      </c>
      <c r="T79" s="5">
        <v>2058697</v>
      </c>
    </row>
    <row r="80" spans="6:20" x14ac:dyDescent="0.35">
      <c r="F80" s="3" t="s">
        <v>947</v>
      </c>
      <c r="G80" s="5">
        <v>307.41000000000003</v>
      </c>
      <c r="S80" s="3" t="s">
        <v>880</v>
      </c>
      <c r="T80" s="5">
        <v>15724357</v>
      </c>
    </row>
    <row r="81" spans="6:20" x14ac:dyDescent="0.35">
      <c r="F81" s="4" t="s">
        <v>948</v>
      </c>
      <c r="G81" s="5">
        <v>307.41000000000003</v>
      </c>
      <c r="S81" s="3" t="s">
        <v>1314</v>
      </c>
      <c r="T81" s="5">
        <v>4850979</v>
      </c>
    </row>
    <row r="82" spans="6:20" x14ac:dyDescent="0.35">
      <c r="F82" s="3" t="s">
        <v>1878</v>
      </c>
      <c r="G82" s="5">
        <v>103648.9</v>
      </c>
      <c r="S82" s="3" t="s">
        <v>1122</v>
      </c>
      <c r="T82" s="5">
        <v>7967451</v>
      </c>
    </row>
    <row r="83" spans="6:20" x14ac:dyDescent="0.35">
      <c r="S83" s="3" t="s">
        <v>1405</v>
      </c>
      <c r="T83" s="5">
        <v>3991078</v>
      </c>
    </row>
    <row r="84" spans="6:20" x14ac:dyDescent="0.35">
      <c r="S84" s="3" t="s">
        <v>511</v>
      </c>
      <c r="T84" s="5">
        <v>37719971</v>
      </c>
    </row>
    <row r="85" spans="6:20" x14ac:dyDescent="0.35">
      <c r="S85" s="3" t="s">
        <v>1440</v>
      </c>
      <c r="T85" s="5">
        <v>3184110</v>
      </c>
    </row>
    <row r="86" spans="6:20" x14ac:dyDescent="0.35">
      <c r="S86" s="3" t="s">
        <v>505</v>
      </c>
      <c r="T86" s="5">
        <v>37951269</v>
      </c>
    </row>
    <row r="87" spans="6:20" x14ac:dyDescent="0.35">
      <c r="S87" s="3" t="s">
        <v>1662</v>
      </c>
      <c r="T87" s="5">
        <v>2035580</v>
      </c>
    </row>
    <row r="88" spans="6:20" x14ac:dyDescent="0.35">
      <c r="S88" s="3" t="s">
        <v>1187</v>
      </c>
      <c r="T88" s="5">
        <v>6216056</v>
      </c>
    </row>
    <row r="89" spans="6:20" x14ac:dyDescent="0.35">
      <c r="S89" s="3" t="s">
        <v>989</v>
      </c>
      <c r="T89" s="5">
        <v>10209935</v>
      </c>
    </row>
    <row r="90" spans="6:20" x14ac:dyDescent="0.35">
      <c r="S90" s="3" t="s">
        <v>66</v>
      </c>
      <c r="T90" s="5">
        <v>22142131632</v>
      </c>
    </row>
    <row r="91" spans="6:20" x14ac:dyDescent="0.35">
      <c r="S91" s="3" t="s">
        <v>1760</v>
      </c>
      <c r="T91" s="5">
        <v>1630840</v>
      </c>
    </row>
    <row r="92" spans="6:20" x14ac:dyDescent="0.35">
      <c r="S92" s="3" t="s">
        <v>453</v>
      </c>
      <c r="T92" s="5">
        <v>52309004</v>
      </c>
    </row>
    <row r="93" spans="6:20" x14ac:dyDescent="0.35">
      <c r="S93" s="3" t="s">
        <v>650</v>
      </c>
      <c r="T93" s="5">
        <v>27429852</v>
      </c>
    </row>
    <row r="94" spans="6:20" x14ac:dyDescent="0.35">
      <c r="S94" s="3" t="s">
        <v>154</v>
      </c>
      <c r="T94" s="5">
        <v>375067798</v>
      </c>
    </row>
    <row r="95" spans="6:20" x14ac:dyDescent="0.35">
      <c r="S95" s="3" t="s">
        <v>1204</v>
      </c>
      <c r="T95" s="5">
        <v>6161025</v>
      </c>
    </row>
    <row r="96" spans="6:20" x14ac:dyDescent="0.35">
      <c r="S96" s="3" t="s">
        <v>1639</v>
      </c>
      <c r="T96" s="5">
        <v>2051634</v>
      </c>
    </row>
    <row r="97" spans="19:20" x14ac:dyDescent="0.35">
      <c r="S97" s="3" t="s">
        <v>361</v>
      </c>
      <c r="T97" s="5">
        <v>77060203</v>
      </c>
    </row>
    <row r="98" spans="19:20" x14ac:dyDescent="0.35">
      <c r="S98" s="3" t="s">
        <v>1066</v>
      </c>
      <c r="T98" s="5">
        <v>8122293</v>
      </c>
    </row>
    <row r="99" spans="19:20" x14ac:dyDescent="0.35">
      <c r="S99" s="3" t="s">
        <v>626</v>
      </c>
      <c r="T99" s="5">
        <v>27755771</v>
      </c>
    </row>
    <row r="100" spans="19:20" x14ac:dyDescent="0.35">
      <c r="S100" s="3" t="s">
        <v>1254</v>
      </c>
      <c r="T100" s="5">
        <v>4939957</v>
      </c>
    </row>
    <row r="101" spans="19:20" x14ac:dyDescent="0.35">
      <c r="S101" s="3" t="s">
        <v>645</v>
      </c>
      <c r="T101" s="5">
        <v>27488408</v>
      </c>
    </row>
    <row r="102" spans="19:20" x14ac:dyDescent="0.35">
      <c r="S102" s="3" t="s">
        <v>401</v>
      </c>
      <c r="T102" s="5">
        <v>52914915</v>
      </c>
    </row>
    <row r="103" spans="19:20" x14ac:dyDescent="0.35">
      <c r="S103" s="3" t="s">
        <v>1135</v>
      </c>
      <c r="T103" s="5">
        <v>7940136</v>
      </c>
    </row>
    <row r="104" spans="19:20" x14ac:dyDescent="0.35">
      <c r="S104" s="3" t="s">
        <v>21</v>
      </c>
      <c r="T104" s="5">
        <v>361423587738</v>
      </c>
    </row>
    <row r="105" spans="19:20" x14ac:dyDescent="0.35">
      <c r="S105" s="3" t="s">
        <v>178</v>
      </c>
      <c r="T105" s="5">
        <v>369793963</v>
      </c>
    </row>
    <row r="106" spans="19:20" x14ac:dyDescent="0.35">
      <c r="S106" s="3" t="s">
        <v>368</v>
      </c>
      <c r="T106" s="5">
        <v>76986337</v>
      </c>
    </row>
    <row r="107" spans="19:20" x14ac:dyDescent="0.35">
      <c r="S107" s="3" t="s">
        <v>715</v>
      </c>
      <c r="T107" s="5">
        <v>21028312</v>
      </c>
    </row>
    <row r="108" spans="19:20" x14ac:dyDescent="0.35">
      <c r="S108" s="3" t="s">
        <v>1153</v>
      </c>
      <c r="T108" s="5">
        <v>7914890</v>
      </c>
    </row>
    <row r="109" spans="19:20" x14ac:dyDescent="0.35">
      <c r="S109" s="3" t="s">
        <v>211</v>
      </c>
      <c r="T109" s="5">
        <v>2106884484</v>
      </c>
    </row>
    <row r="110" spans="19:20" x14ac:dyDescent="0.35">
      <c r="S110" s="3" t="s">
        <v>237</v>
      </c>
      <c r="T110" s="5">
        <v>610617101</v>
      </c>
    </row>
    <row r="111" spans="19:20" x14ac:dyDescent="0.35">
      <c r="S111" s="3" t="s">
        <v>127</v>
      </c>
      <c r="T111" s="5">
        <v>390942713</v>
      </c>
    </row>
    <row r="112" spans="19:20" x14ac:dyDescent="0.35">
      <c r="S112" s="3" t="s">
        <v>538</v>
      </c>
      <c r="T112" s="5">
        <v>37236360</v>
      </c>
    </row>
    <row r="113" spans="19:20" x14ac:dyDescent="0.35">
      <c r="S113" s="3" t="s">
        <v>1867</v>
      </c>
      <c r="T113" s="5">
        <v>1329457</v>
      </c>
    </row>
    <row r="114" spans="19:20" x14ac:dyDescent="0.35">
      <c r="S114" s="3" t="s">
        <v>784</v>
      </c>
      <c r="T114" s="5">
        <v>20601570</v>
      </c>
    </row>
    <row r="115" spans="19:20" x14ac:dyDescent="0.35">
      <c r="S115" s="3" t="s">
        <v>1231</v>
      </c>
      <c r="T115" s="5">
        <v>6114215</v>
      </c>
    </row>
    <row r="116" spans="19:20" x14ac:dyDescent="0.35">
      <c r="S116" s="3" t="s">
        <v>255</v>
      </c>
      <c r="T116" s="5">
        <v>494983038</v>
      </c>
    </row>
    <row r="117" spans="19:20" x14ac:dyDescent="0.35">
      <c r="S117" s="3" t="s">
        <v>1571</v>
      </c>
      <c r="T117" s="5">
        <v>2572928</v>
      </c>
    </row>
    <row r="118" spans="19:20" x14ac:dyDescent="0.35">
      <c r="S118" s="3" t="s">
        <v>1411</v>
      </c>
      <c r="T118" s="5">
        <v>3988311</v>
      </c>
    </row>
    <row r="119" spans="19:20" x14ac:dyDescent="0.35">
      <c r="S119" s="3" t="s">
        <v>1165</v>
      </c>
      <c r="T119" s="5">
        <v>6265404</v>
      </c>
    </row>
    <row r="120" spans="19:20" x14ac:dyDescent="0.35">
      <c r="S120" s="3" t="s">
        <v>1481</v>
      </c>
      <c r="T120" s="5">
        <v>3144141</v>
      </c>
    </row>
    <row r="121" spans="19:20" x14ac:dyDescent="0.35">
      <c r="S121" s="3" t="s">
        <v>1505</v>
      </c>
      <c r="T121" s="5">
        <v>3112337</v>
      </c>
    </row>
    <row r="122" spans="19:20" x14ac:dyDescent="0.35">
      <c r="S122" s="3" t="s">
        <v>936</v>
      </c>
      <c r="T122" s="5">
        <v>12833597</v>
      </c>
    </row>
    <row r="123" spans="19:20" x14ac:dyDescent="0.35">
      <c r="S123" s="3" t="s">
        <v>1090</v>
      </c>
      <c r="T123" s="5">
        <v>8072787</v>
      </c>
    </row>
    <row r="124" spans="19:20" x14ac:dyDescent="0.35">
      <c r="S124" s="3" t="s">
        <v>415</v>
      </c>
      <c r="T124" s="5">
        <v>52657130</v>
      </c>
    </row>
    <row r="125" spans="19:20" x14ac:dyDescent="0.35">
      <c r="S125" s="3" t="s">
        <v>1588</v>
      </c>
      <c r="T125" s="5">
        <v>2567987</v>
      </c>
    </row>
    <row r="126" spans="19:20" x14ac:dyDescent="0.35">
      <c r="S126" s="3" t="s">
        <v>531</v>
      </c>
      <c r="T126" s="5">
        <v>37321954</v>
      </c>
    </row>
    <row r="127" spans="19:20" x14ac:dyDescent="0.35">
      <c r="S127" s="3" t="s">
        <v>1002</v>
      </c>
      <c r="T127" s="5">
        <v>10177709</v>
      </c>
    </row>
    <row r="128" spans="19:20" x14ac:dyDescent="0.35">
      <c r="S128" s="3" t="s">
        <v>1278</v>
      </c>
      <c r="T128" s="5">
        <v>4911058</v>
      </c>
    </row>
    <row r="129" spans="19:20" x14ac:dyDescent="0.35">
      <c r="S129" s="3" t="s">
        <v>862</v>
      </c>
      <c r="T129" s="5">
        <v>15920691</v>
      </c>
    </row>
    <row r="130" spans="19:20" x14ac:dyDescent="0.35">
      <c r="S130" s="3" t="s">
        <v>1377</v>
      </c>
      <c r="T130" s="5">
        <v>4025739</v>
      </c>
    </row>
    <row r="131" spans="19:20" x14ac:dyDescent="0.35">
      <c r="S131" s="3" t="s">
        <v>1043</v>
      </c>
      <c r="T131" s="5">
        <v>10120696</v>
      </c>
    </row>
    <row r="132" spans="19:20" x14ac:dyDescent="0.35">
      <c r="S132" s="3" t="s">
        <v>100</v>
      </c>
      <c r="T132" s="5">
        <v>8152825164</v>
      </c>
    </row>
    <row r="133" spans="19:20" x14ac:dyDescent="0.35">
      <c r="S133" s="3" t="s">
        <v>953</v>
      </c>
      <c r="T133" s="5">
        <v>12748368</v>
      </c>
    </row>
    <row r="134" spans="19:20" x14ac:dyDescent="0.35">
      <c r="S134" s="3" t="s">
        <v>421</v>
      </c>
      <c r="T134" s="5">
        <v>52836877</v>
      </c>
    </row>
    <row r="135" spans="19:20" x14ac:dyDescent="0.35">
      <c r="S135" s="3" t="s">
        <v>733</v>
      </c>
      <c r="T135" s="5">
        <v>20833689</v>
      </c>
    </row>
    <row r="136" spans="19:20" x14ac:dyDescent="0.35">
      <c r="S136" s="3" t="s">
        <v>161</v>
      </c>
      <c r="T136" s="5">
        <v>374367380</v>
      </c>
    </row>
    <row r="137" spans="19:20" x14ac:dyDescent="0.35">
      <c r="S137" s="3" t="s">
        <v>1656</v>
      </c>
      <c r="T137" s="5">
        <v>2029259</v>
      </c>
    </row>
    <row r="138" spans="19:20" x14ac:dyDescent="0.35">
      <c r="S138" s="3" t="s">
        <v>1831</v>
      </c>
      <c r="T138" s="5">
        <v>1346379</v>
      </c>
    </row>
    <row r="139" spans="19:20" x14ac:dyDescent="0.35">
      <c r="S139" s="3" t="s">
        <v>217</v>
      </c>
      <c r="T139" s="5">
        <v>1535961932</v>
      </c>
    </row>
    <row r="140" spans="19:20" x14ac:dyDescent="0.35">
      <c r="S140" s="3" t="s">
        <v>113</v>
      </c>
      <c r="T140" s="5">
        <v>395100959</v>
      </c>
    </row>
    <row r="141" spans="19:20" x14ac:dyDescent="0.35">
      <c r="S141" s="3" t="s">
        <v>172</v>
      </c>
      <c r="T141" s="5">
        <v>371881052</v>
      </c>
    </row>
    <row r="142" spans="19:20" x14ac:dyDescent="0.35">
      <c r="S142" s="3" t="s">
        <v>1395</v>
      </c>
      <c r="T142" s="5">
        <v>4001721</v>
      </c>
    </row>
    <row r="143" spans="19:20" x14ac:dyDescent="0.35">
      <c r="S143" s="3" t="s">
        <v>1193</v>
      </c>
      <c r="T143" s="5">
        <v>6207938</v>
      </c>
    </row>
    <row r="144" spans="19:20" x14ac:dyDescent="0.35">
      <c r="S144" s="3" t="s">
        <v>1060</v>
      </c>
      <c r="T144" s="5">
        <v>10100897</v>
      </c>
    </row>
    <row r="145" spans="19:20" x14ac:dyDescent="0.35">
      <c r="S145" s="3" t="s">
        <v>1159</v>
      </c>
      <c r="T145" s="5">
        <v>6272861</v>
      </c>
    </row>
    <row r="146" spans="19:20" x14ac:dyDescent="0.35">
      <c r="S146" s="3" t="s">
        <v>1072</v>
      </c>
      <c r="T146" s="5">
        <v>8105168</v>
      </c>
    </row>
    <row r="147" spans="19:20" x14ac:dyDescent="0.35">
      <c r="S147" s="3" t="s">
        <v>1773</v>
      </c>
      <c r="T147" s="5">
        <v>1629272</v>
      </c>
    </row>
    <row r="148" spans="19:20" x14ac:dyDescent="0.35">
      <c r="S148" s="3" t="s">
        <v>1601</v>
      </c>
      <c r="T148" s="5">
        <v>2067068</v>
      </c>
    </row>
    <row r="149" spans="19:20" x14ac:dyDescent="0.35">
      <c r="S149" s="3" t="s">
        <v>1198</v>
      </c>
      <c r="T149" s="5">
        <v>6205613</v>
      </c>
    </row>
    <row r="150" spans="19:20" x14ac:dyDescent="0.35">
      <c r="S150" s="3" t="s">
        <v>261</v>
      </c>
      <c r="T150" s="5">
        <v>278706336</v>
      </c>
    </row>
    <row r="151" spans="19:20" x14ac:dyDescent="0.35">
      <c r="S151" s="3" t="s">
        <v>721</v>
      </c>
      <c r="T151" s="5">
        <v>20942083</v>
      </c>
    </row>
    <row r="152" spans="19:20" x14ac:dyDescent="0.35">
      <c r="S152" s="3" t="s">
        <v>1260</v>
      </c>
      <c r="T152" s="5">
        <v>4925795</v>
      </c>
    </row>
    <row r="153" spans="19:20" x14ac:dyDescent="0.35">
      <c r="S153" s="3" t="s">
        <v>585</v>
      </c>
      <c r="T153" s="5">
        <v>36948795</v>
      </c>
    </row>
    <row r="154" spans="19:20" x14ac:dyDescent="0.35">
      <c r="S154" s="3" t="s">
        <v>286</v>
      </c>
      <c r="T154" s="5">
        <v>211588925</v>
      </c>
    </row>
    <row r="155" spans="19:20" x14ac:dyDescent="0.35">
      <c r="S155" s="3" t="s">
        <v>1808</v>
      </c>
      <c r="T155" s="5">
        <v>1356556</v>
      </c>
    </row>
    <row r="156" spans="19:20" x14ac:dyDescent="0.35">
      <c r="S156" s="3" t="s">
        <v>340</v>
      </c>
      <c r="T156" s="5">
        <v>78721990</v>
      </c>
    </row>
    <row r="157" spans="19:20" x14ac:dyDescent="0.35">
      <c r="S157" s="3" t="s">
        <v>598</v>
      </c>
      <c r="T157" s="5">
        <v>28119082</v>
      </c>
    </row>
    <row r="158" spans="19:20" x14ac:dyDescent="0.35">
      <c r="S158" s="3" t="s">
        <v>306</v>
      </c>
      <c r="T158" s="5">
        <v>79635764</v>
      </c>
    </row>
    <row r="159" spans="19:20" x14ac:dyDescent="0.35">
      <c r="S159" s="3" t="s">
        <v>147</v>
      </c>
      <c r="T159" s="5">
        <v>376034713</v>
      </c>
    </row>
    <row r="160" spans="19:20" x14ac:dyDescent="0.35">
      <c r="S160" s="3" t="s">
        <v>447</v>
      </c>
      <c r="T160" s="5">
        <v>52353793</v>
      </c>
    </row>
    <row r="161" spans="19:20" x14ac:dyDescent="0.35">
      <c r="S161" s="3" t="s">
        <v>727</v>
      </c>
      <c r="T161" s="5">
        <v>20926607</v>
      </c>
    </row>
    <row r="162" spans="19:20" x14ac:dyDescent="0.35">
      <c r="S162" s="3" t="s">
        <v>751</v>
      </c>
      <c r="T162" s="5">
        <v>20765268</v>
      </c>
    </row>
    <row r="163" spans="19:20" x14ac:dyDescent="0.35">
      <c r="S163" s="3" t="s">
        <v>1370</v>
      </c>
      <c r="T163" s="5">
        <v>4032882</v>
      </c>
    </row>
    <row r="164" spans="19:20" x14ac:dyDescent="0.35">
      <c r="S164" s="3" t="s">
        <v>683</v>
      </c>
      <c r="T164" s="5">
        <v>27118205</v>
      </c>
    </row>
    <row r="165" spans="19:20" x14ac:dyDescent="0.35">
      <c r="S165" s="3" t="s">
        <v>1214</v>
      </c>
      <c r="T165" s="5">
        <v>6129073</v>
      </c>
    </row>
    <row r="166" spans="19:20" x14ac:dyDescent="0.35">
      <c r="S166" s="3" t="s">
        <v>612</v>
      </c>
      <c r="T166" s="5">
        <v>27988460</v>
      </c>
    </row>
    <row r="167" spans="19:20" x14ac:dyDescent="0.35">
      <c r="S167" s="3" t="s">
        <v>1334</v>
      </c>
      <c r="T167" s="5">
        <v>4098858</v>
      </c>
    </row>
    <row r="168" spans="19:20" x14ac:dyDescent="0.35">
      <c r="S168" s="3" t="s">
        <v>565</v>
      </c>
      <c r="T168" s="5">
        <v>37123485</v>
      </c>
    </row>
    <row r="169" spans="19:20" x14ac:dyDescent="0.35">
      <c r="S169" s="3" t="s">
        <v>1626</v>
      </c>
      <c r="T169" s="5">
        <v>2058129</v>
      </c>
    </row>
    <row r="170" spans="19:20" x14ac:dyDescent="0.35">
      <c r="S170" s="3" t="s">
        <v>1559</v>
      </c>
      <c r="T170" s="5">
        <v>2593163</v>
      </c>
    </row>
    <row r="171" spans="19:20" x14ac:dyDescent="0.35">
      <c r="S171" s="3" t="s">
        <v>1780</v>
      </c>
      <c r="T171" s="5">
        <v>1622431</v>
      </c>
    </row>
    <row r="172" spans="19:20" x14ac:dyDescent="0.35">
      <c r="S172" s="3" t="s">
        <v>655</v>
      </c>
      <c r="T172" s="5">
        <v>27369787</v>
      </c>
    </row>
    <row r="173" spans="19:20" x14ac:dyDescent="0.35">
      <c r="S173" s="3" t="s">
        <v>1302</v>
      </c>
      <c r="T173" s="5">
        <v>4872450</v>
      </c>
    </row>
    <row r="174" spans="19:20" x14ac:dyDescent="0.35">
      <c r="S174" s="3" t="s">
        <v>93</v>
      </c>
      <c r="T174" s="5">
        <v>8657043978</v>
      </c>
    </row>
    <row r="175" spans="19:20" x14ac:dyDescent="0.35">
      <c r="S175" s="3" t="s">
        <v>1700</v>
      </c>
      <c r="T175" s="5">
        <v>1670143</v>
      </c>
    </row>
    <row r="176" spans="19:20" x14ac:dyDescent="0.35">
      <c r="S176" s="3" t="s">
        <v>1266</v>
      </c>
      <c r="T176" s="5">
        <v>4925368</v>
      </c>
    </row>
    <row r="177" spans="19:20" x14ac:dyDescent="0.35">
      <c r="S177" s="3" t="s">
        <v>1363</v>
      </c>
      <c r="T177" s="5">
        <v>4044070</v>
      </c>
    </row>
    <row r="178" spans="19:20" x14ac:dyDescent="0.35">
      <c r="S178" s="3" t="s">
        <v>850</v>
      </c>
      <c r="T178" s="5">
        <v>15950372</v>
      </c>
    </row>
    <row r="179" spans="19:20" x14ac:dyDescent="0.35">
      <c r="S179" s="3" t="s">
        <v>709</v>
      </c>
      <c r="T179" s="5">
        <v>21051661</v>
      </c>
    </row>
    <row r="180" spans="19:20" x14ac:dyDescent="0.35">
      <c r="S180" s="3" t="s">
        <v>856</v>
      </c>
      <c r="T180" s="5">
        <v>15923641</v>
      </c>
    </row>
    <row r="181" spans="19:20" x14ac:dyDescent="0.35">
      <c r="S181" s="3" t="s">
        <v>347</v>
      </c>
      <c r="T181" s="5">
        <v>78155285</v>
      </c>
    </row>
    <row r="182" spans="19:20" x14ac:dyDescent="0.35">
      <c r="S182" s="3" t="s">
        <v>354</v>
      </c>
      <c r="T182" s="5">
        <v>77913243</v>
      </c>
    </row>
    <row r="183" spans="19:20" x14ac:dyDescent="0.35">
      <c r="S183" s="3" t="s">
        <v>1470</v>
      </c>
      <c r="T183" s="5">
        <v>3161988</v>
      </c>
    </row>
    <row r="184" spans="19:20" x14ac:dyDescent="0.35">
      <c r="S184" s="3" t="s">
        <v>231</v>
      </c>
      <c r="T184" s="5">
        <v>695165286</v>
      </c>
    </row>
    <row r="185" spans="19:20" x14ac:dyDescent="0.35">
      <c r="S185" s="3" t="s">
        <v>498</v>
      </c>
      <c r="T185" s="5">
        <v>37963403</v>
      </c>
    </row>
    <row r="186" spans="19:20" x14ac:dyDescent="0.35">
      <c r="S186" s="3" t="s">
        <v>676</v>
      </c>
      <c r="T186" s="5">
        <v>27189900</v>
      </c>
    </row>
    <row r="187" spans="19:20" x14ac:dyDescent="0.35">
      <c r="S187" s="3" t="s">
        <v>669</v>
      </c>
      <c r="T187" s="5">
        <v>27270904</v>
      </c>
    </row>
    <row r="188" spans="19:20" x14ac:dyDescent="0.35">
      <c r="S188" s="3" t="s">
        <v>1613</v>
      </c>
      <c r="T188" s="5">
        <v>2061716</v>
      </c>
    </row>
    <row r="189" spans="19:20" x14ac:dyDescent="0.35">
      <c r="S189" s="3" t="s">
        <v>1307</v>
      </c>
      <c r="T189" s="5">
        <v>4852783</v>
      </c>
    </row>
    <row r="190" spans="19:20" x14ac:dyDescent="0.35">
      <c r="S190" s="3" t="s">
        <v>976</v>
      </c>
      <c r="T190" s="5">
        <v>10263393</v>
      </c>
    </row>
    <row r="191" spans="19:20" x14ac:dyDescent="0.35">
      <c r="S191" s="3" t="s">
        <v>491</v>
      </c>
      <c r="T191" s="5">
        <v>51688897</v>
      </c>
    </row>
    <row r="192" spans="19:20" x14ac:dyDescent="0.35">
      <c r="S192" s="3" t="s">
        <v>1669</v>
      </c>
      <c r="T192" s="5">
        <v>2029473</v>
      </c>
    </row>
    <row r="193" spans="19:20" x14ac:dyDescent="0.35">
      <c r="S193" s="3" t="s">
        <v>874</v>
      </c>
      <c r="T193" s="5">
        <v>15812322</v>
      </c>
    </row>
    <row r="194" spans="19:20" x14ac:dyDescent="0.35">
      <c r="S194" s="3" t="s">
        <v>478</v>
      </c>
      <c r="T194" s="5">
        <v>51914331</v>
      </c>
    </row>
    <row r="195" spans="19:20" x14ac:dyDescent="0.35">
      <c r="S195" s="3" t="s">
        <v>836</v>
      </c>
      <c r="T195" s="5">
        <v>16064356</v>
      </c>
    </row>
    <row r="196" spans="19:20" x14ac:dyDescent="0.35">
      <c r="S196" s="3" t="s">
        <v>816</v>
      </c>
      <c r="T196" s="5">
        <v>16215310</v>
      </c>
    </row>
    <row r="197" spans="19:20" x14ac:dyDescent="0.35">
      <c r="S197" s="3" t="s">
        <v>299</v>
      </c>
      <c r="T197" s="5">
        <v>79843036</v>
      </c>
    </row>
    <row r="198" spans="19:20" x14ac:dyDescent="0.35">
      <c r="S198" s="3" t="s">
        <v>1712</v>
      </c>
      <c r="T198" s="5">
        <v>1658112</v>
      </c>
    </row>
    <row r="199" spans="19:20" x14ac:dyDescent="0.35">
      <c r="S199" s="3" t="s">
        <v>1340</v>
      </c>
      <c r="T199" s="5">
        <v>4092301</v>
      </c>
    </row>
    <row r="200" spans="19:20" x14ac:dyDescent="0.35">
      <c r="S200" s="3" t="s">
        <v>1706</v>
      </c>
      <c r="T200" s="5">
        <v>1658808</v>
      </c>
    </row>
    <row r="201" spans="19:20" x14ac:dyDescent="0.35">
      <c r="S201" s="3" t="s">
        <v>1517</v>
      </c>
      <c r="T201" s="5">
        <v>2618272</v>
      </c>
    </row>
    <row r="202" spans="19:20" x14ac:dyDescent="0.35">
      <c r="S202" s="3" t="s">
        <v>1719</v>
      </c>
      <c r="T202" s="5">
        <v>1656286</v>
      </c>
    </row>
    <row r="203" spans="19:20" x14ac:dyDescent="0.35">
      <c r="S203" s="3" t="s">
        <v>757</v>
      </c>
      <c r="T203" s="5">
        <v>20742584</v>
      </c>
    </row>
    <row r="204" spans="19:20" x14ac:dyDescent="0.35">
      <c r="S204" s="3" t="s">
        <v>1225</v>
      </c>
      <c r="T204" s="5">
        <v>6115705</v>
      </c>
    </row>
    <row r="205" spans="19:20" x14ac:dyDescent="0.35">
      <c r="S205" s="3" t="s">
        <v>1389</v>
      </c>
      <c r="T205" s="5">
        <v>4002278</v>
      </c>
    </row>
    <row r="206" spans="19:20" x14ac:dyDescent="0.35">
      <c r="S206" s="3" t="s">
        <v>579</v>
      </c>
      <c r="T206" s="5">
        <v>36968498</v>
      </c>
    </row>
    <row r="207" spans="19:20" x14ac:dyDescent="0.35">
      <c r="S207" s="3" t="s">
        <v>1116</v>
      </c>
      <c r="T207" s="5">
        <v>7973287</v>
      </c>
    </row>
    <row r="208" spans="19:20" x14ac:dyDescent="0.35">
      <c r="S208" s="3" t="s">
        <v>1103</v>
      </c>
      <c r="T208" s="5">
        <v>7986894</v>
      </c>
    </row>
    <row r="209" spans="19:20" x14ac:dyDescent="0.35">
      <c r="S209" s="3" t="s">
        <v>1754</v>
      </c>
      <c r="T209" s="5">
        <v>1637470</v>
      </c>
    </row>
    <row r="210" spans="19:20" x14ac:dyDescent="0.35">
      <c r="S210" s="3" t="s">
        <v>205</v>
      </c>
      <c r="T210" s="5">
        <v>2591576160</v>
      </c>
    </row>
    <row r="211" spans="19:20" x14ac:dyDescent="0.35">
      <c r="S211" s="3" t="s">
        <v>1511</v>
      </c>
      <c r="T211" s="5">
        <v>2624600</v>
      </c>
    </row>
    <row r="212" spans="19:20" x14ac:dyDescent="0.35">
      <c r="S212" s="3" t="s">
        <v>381</v>
      </c>
      <c r="T212" s="5">
        <v>76834825</v>
      </c>
    </row>
    <row r="213" spans="19:20" x14ac:dyDescent="0.35">
      <c r="S213" s="3" t="s">
        <v>1434</v>
      </c>
      <c r="T213" s="5">
        <v>3186414</v>
      </c>
    </row>
    <row r="214" spans="19:20" x14ac:dyDescent="0.35">
      <c r="S214" s="3" t="s">
        <v>605</v>
      </c>
      <c r="T214" s="5">
        <v>28030314</v>
      </c>
    </row>
    <row r="215" spans="19:20" x14ac:dyDescent="0.35">
      <c r="S215" s="3" t="s">
        <v>1475</v>
      </c>
      <c r="T215" s="5">
        <v>3145553</v>
      </c>
    </row>
    <row r="216" spans="19:20" x14ac:dyDescent="0.35">
      <c r="S216" s="3" t="s">
        <v>1814</v>
      </c>
      <c r="T216" s="5">
        <v>1349188</v>
      </c>
    </row>
    <row r="217" spans="19:20" x14ac:dyDescent="0.35">
      <c r="S217" s="3" t="s">
        <v>319</v>
      </c>
      <c r="T217" s="5">
        <v>79390425</v>
      </c>
    </row>
    <row r="218" spans="19:20" x14ac:dyDescent="0.35">
      <c r="S218" s="3" t="s">
        <v>1675</v>
      </c>
      <c r="T218" s="5">
        <v>2018735</v>
      </c>
    </row>
    <row r="219" spans="19:20" x14ac:dyDescent="0.35">
      <c r="S219" s="3" t="s">
        <v>739</v>
      </c>
      <c r="T219" s="5">
        <v>20792425</v>
      </c>
    </row>
    <row r="220" spans="19:20" x14ac:dyDescent="0.35">
      <c r="S220" s="3" t="s">
        <v>1423</v>
      </c>
      <c r="T220" s="5">
        <v>3190030</v>
      </c>
    </row>
    <row r="221" spans="19:20" x14ac:dyDescent="0.35">
      <c r="S221" s="3" t="s">
        <v>809</v>
      </c>
      <c r="T221" s="5">
        <v>16227020</v>
      </c>
    </row>
    <row r="222" spans="19:20" x14ac:dyDescent="0.35">
      <c r="S222" s="3" t="s">
        <v>1141</v>
      </c>
      <c r="T222" s="5">
        <v>7939043</v>
      </c>
    </row>
    <row r="223" spans="19:20" x14ac:dyDescent="0.35">
      <c r="S223" s="3" t="s">
        <v>1725</v>
      </c>
      <c r="T223" s="5">
        <v>1653777</v>
      </c>
    </row>
    <row r="224" spans="19:20" x14ac:dyDescent="0.35">
      <c r="S224" s="3" t="s">
        <v>690</v>
      </c>
      <c r="T224" s="5">
        <v>27036164</v>
      </c>
    </row>
    <row r="225" spans="19:20" x14ac:dyDescent="0.35">
      <c r="S225" s="3" t="s">
        <v>1682</v>
      </c>
      <c r="T225" s="5">
        <v>2014166</v>
      </c>
    </row>
    <row r="226" spans="19:20" x14ac:dyDescent="0.35">
      <c r="S226" s="3" t="s">
        <v>1181</v>
      </c>
      <c r="T226" s="5">
        <v>6230699</v>
      </c>
    </row>
    <row r="227" spans="19:20" x14ac:dyDescent="0.35">
      <c r="S227" s="3" t="s">
        <v>1175</v>
      </c>
      <c r="T227" s="5">
        <v>6251681</v>
      </c>
    </row>
    <row r="228" spans="19:20" x14ac:dyDescent="0.35">
      <c r="S228" s="3" t="s">
        <v>1843</v>
      </c>
      <c r="T228" s="5">
        <v>1340163</v>
      </c>
    </row>
    <row r="229" spans="19:20" x14ac:dyDescent="0.35">
      <c r="S229" s="3" t="s">
        <v>1688</v>
      </c>
      <c r="T229" s="5">
        <v>1998825</v>
      </c>
    </row>
    <row r="230" spans="19:20" x14ac:dyDescent="0.35">
      <c r="S230" s="3" t="s">
        <v>485</v>
      </c>
      <c r="T230" s="5">
        <v>51784517</v>
      </c>
    </row>
    <row r="231" spans="19:20" x14ac:dyDescent="0.35">
      <c r="S231" s="3" t="s">
        <v>1036</v>
      </c>
      <c r="T231" s="5">
        <v>10130034</v>
      </c>
    </row>
    <row r="232" spans="19:20" x14ac:dyDescent="0.35">
      <c r="S232" s="3" t="s">
        <v>472</v>
      </c>
      <c r="T232" s="5">
        <v>52087682</v>
      </c>
    </row>
    <row r="233" spans="19:20" x14ac:dyDescent="0.35">
      <c r="S233" s="3" t="s">
        <v>333</v>
      </c>
      <c r="T233" s="5">
        <v>78874838</v>
      </c>
    </row>
    <row r="234" spans="19:20" x14ac:dyDescent="0.35">
      <c r="S234" s="3" t="s">
        <v>53</v>
      </c>
      <c r="T234" s="5">
        <v>70670265414</v>
      </c>
    </row>
    <row r="235" spans="19:20" x14ac:dyDescent="0.35">
      <c r="S235" s="3" t="s">
        <v>408</v>
      </c>
      <c r="T235" s="5">
        <v>52882038</v>
      </c>
    </row>
    <row r="236" spans="19:20" x14ac:dyDescent="0.35">
      <c r="S236" s="3" t="s">
        <v>916</v>
      </c>
      <c r="T236" s="5">
        <v>12990382</v>
      </c>
    </row>
    <row r="237" spans="19:20" x14ac:dyDescent="0.35">
      <c r="S237" s="3" t="s">
        <v>1445</v>
      </c>
      <c r="T237" s="5">
        <v>3170980</v>
      </c>
    </row>
    <row r="238" spans="19:20" x14ac:dyDescent="0.35">
      <c r="S238" s="3" t="s">
        <v>1248</v>
      </c>
      <c r="T238" s="5">
        <v>4956333</v>
      </c>
    </row>
    <row r="239" spans="19:20" x14ac:dyDescent="0.35">
      <c r="S239" s="3" t="s">
        <v>1644</v>
      </c>
      <c r="T239" s="5">
        <v>2039455</v>
      </c>
    </row>
    <row r="240" spans="19:20" x14ac:dyDescent="0.35">
      <c r="S240" s="3" t="s">
        <v>1084</v>
      </c>
      <c r="T240" s="5">
        <v>8086075</v>
      </c>
    </row>
    <row r="241" spans="19:20" x14ac:dyDescent="0.35">
      <c r="S241" s="3" t="s">
        <v>1855</v>
      </c>
      <c r="T241" s="5">
        <v>1333124</v>
      </c>
    </row>
    <row r="242" spans="19:20" x14ac:dyDescent="0.35">
      <c r="S242" s="3" t="s">
        <v>133</v>
      </c>
      <c r="T242" s="5">
        <v>387986393</v>
      </c>
    </row>
    <row r="243" spans="19:20" x14ac:dyDescent="0.35">
      <c r="S243" s="3" t="s">
        <v>1861</v>
      </c>
      <c r="T243" s="5">
        <v>1330087</v>
      </c>
    </row>
    <row r="244" spans="19:20" x14ac:dyDescent="0.35">
      <c r="S244" s="3" t="s">
        <v>1837</v>
      </c>
      <c r="T244" s="5">
        <v>1343123</v>
      </c>
    </row>
    <row r="245" spans="19:20" x14ac:dyDescent="0.35">
      <c r="S245" s="3" t="s">
        <v>1014</v>
      </c>
      <c r="T245" s="5">
        <v>10154660</v>
      </c>
    </row>
    <row r="246" spans="19:20" x14ac:dyDescent="0.35">
      <c r="S246" s="3" t="s">
        <v>267</v>
      </c>
      <c r="T246" s="5">
        <v>265798946</v>
      </c>
    </row>
    <row r="247" spans="19:20" x14ac:dyDescent="0.35">
      <c r="S247" s="3" t="s">
        <v>1766</v>
      </c>
      <c r="T247" s="5">
        <v>1630658</v>
      </c>
    </row>
    <row r="248" spans="19:20" x14ac:dyDescent="0.35">
      <c r="S248" s="3" t="s">
        <v>440</v>
      </c>
      <c r="T248" s="5">
        <v>52368644</v>
      </c>
    </row>
    <row r="249" spans="19:20" x14ac:dyDescent="0.35">
      <c r="S249" s="3" t="s">
        <v>1030</v>
      </c>
      <c r="T249" s="5">
        <v>10134565</v>
      </c>
    </row>
    <row r="250" spans="19:20" x14ac:dyDescent="0.35">
      <c r="S250" s="3" t="s">
        <v>1487</v>
      </c>
      <c r="T250" s="5">
        <v>3136583</v>
      </c>
    </row>
    <row r="251" spans="19:20" x14ac:dyDescent="0.35">
      <c r="S251" s="3" t="s">
        <v>544</v>
      </c>
      <c r="T251" s="5">
        <v>37191884</v>
      </c>
    </row>
    <row r="252" spans="19:20" x14ac:dyDescent="0.35">
      <c r="S252" s="3" t="s">
        <v>28</v>
      </c>
      <c r="T252" s="5">
        <v>186753660259</v>
      </c>
    </row>
    <row r="253" spans="19:20" x14ac:dyDescent="0.35">
      <c r="S253" s="3" t="s">
        <v>1054</v>
      </c>
      <c r="T253" s="5">
        <v>10087488</v>
      </c>
    </row>
    <row r="254" spans="19:20" x14ac:dyDescent="0.35">
      <c r="S254" s="3" t="s">
        <v>107</v>
      </c>
      <c r="T254" s="5">
        <v>396283095</v>
      </c>
    </row>
    <row r="255" spans="19:20" x14ac:dyDescent="0.35">
      <c r="S255" s="3" t="s">
        <v>983</v>
      </c>
      <c r="T255" s="5">
        <v>10218253</v>
      </c>
    </row>
    <row r="256" spans="19:20" x14ac:dyDescent="0.35">
      <c r="S256" s="3" t="s">
        <v>1554</v>
      </c>
      <c r="T256" s="5">
        <v>2593788</v>
      </c>
    </row>
    <row r="257" spans="19:20" x14ac:dyDescent="0.35">
      <c r="S257" s="3" t="s">
        <v>428</v>
      </c>
      <c r="T257" s="5">
        <v>52548578</v>
      </c>
    </row>
    <row r="258" spans="19:20" x14ac:dyDescent="0.35">
      <c r="S258" s="3" t="s">
        <v>1650</v>
      </c>
      <c r="T258" s="5">
        <v>2037382</v>
      </c>
    </row>
    <row r="259" spans="19:20" x14ac:dyDescent="0.35">
      <c r="S259" s="3" t="s">
        <v>1632</v>
      </c>
      <c r="T259" s="5">
        <v>2052913</v>
      </c>
    </row>
    <row r="260" spans="19:20" x14ac:dyDescent="0.35">
      <c r="S260" s="3" t="s">
        <v>829</v>
      </c>
      <c r="T260" s="5">
        <v>16192876</v>
      </c>
    </row>
    <row r="261" spans="19:20" x14ac:dyDescent="0.35">
      <c r="S261" s="3" t="s">
        <v>60</v>
      </c>
      <c r="T261" s="5">
        <v>27003517160</v>
      </c>
    </row>
    <row r="262" spans="19:20" x14ac:dyDescent="0.35">
      <c r="S262" s="3" t="s">
        <v>192</v>
      </c>
      <c r="T262" s="5">
        <v>359773572</v>
      </c>
    </row>
    <row r="263" spans="19:20" x14ac:dyDescent="0.35">
      <c r="S263" s="3" t="s">
        <v>1321</v>
      </c>
      <c r="T263" s="5">
        <v>4842635</v>
      </c>
    </row>
    <row r="264" spans="19:20" x14ac:dyDescent="0.35">
      <c r="S264" s="3" t="s">
        <v>1493</v>
      </c>
      <c r="T264" s="5">
        <v>3128134</v>
      </c>
    </row>
    <row r="265" spans="19:20" x14ac:dyDescent="0.35">
      <c r="S265" s="3" t="s">
        <v>1547</v>
      </c>
      <c r="T265" s="5">
        <v>2598336</v>
      </c>
    </row>
    <row r="266" spans="19:20" x14ac:dyDescent="0.35">
      <c r="S266" s="3" t="s">
        <v>1358</v>
      </c>
      <c r="T266" s="5">
        <v>4056290</v>
      </c>
    </row>
    <row r="267" spans="19:20" x14ac:dyDescent="0.35">
      <c r="S267" s="3" t="s">
        <v>1565</v>
      </c>
      <c r="T267" s="5">
        <v>2591059</v>
      </c>
    </row>
    <row r="268" spans="19:20" x14ac:dyDescent="0.35">
      <c r="S268" s="3" t="s">
        <v>1272</v>
      </c>
      <c r="T268" s="5">
        <v>4922842</v>
      </c>
    </row>
    <row r="269" spans="19:20" x14ac:dyDescent="0.35">
      <c r="S269" s="3" t="s">
        <v>249</v>
      </c>
      <c r="T269" s="5">
        <v>501660920</v>
      </c>
    </row>
    <row r="270" spans="19:20" x14ac:dyDescent="0.35">
      <c r="S270" s="3" t="s">
        <v>47</v>
      </c>
      <c r="T270" s="5">
        <v>77041970766</v>
      </c>
    </row>
    <row r="271" spans="19:20" x14ac:dyDescent="0.35">
      <c r="S271" s="3" t="s">
        <v>243</v>
      </c>
      <c r="T271" s="5">
        <v>562841704</v>
      </c>
    </row>
    <row r="272" spans="19:20" x14ac:dyDescent="0.35">
      <c r="S272" s="3" t="s">
        <v>1694</v>
      </c>
      <c r="T272" s="5">
        <v>1673937</v>
      </c>
    </row>
    <row r="273" spans="19:20" x14ac:dyDescent="0.35">
      <c r="S273" s="3" t="s">
        <v>823</v>
      </c>
      <c r="T273" s="5">
        <v>16198555</v>
      </c>
    </row>
    <row r="274" spans="19:20" x14ac:dyDescent="0.35">
      <c r="S274" s="3" t="s">
        <v>312</v>
      </c>
      <c r="T274" s="5">
        <v>79478245</v>
      </c>
    </row>
    <row r="275" spans="19:20" x14ac:dyDescent="0.35">
      <c r="S275" s="3" t="s">
        <v>1820</v>
      </c>
      <c r="T275" s="5">
        <v>1347893</v>
      </c>
    </row>
    <row r="276" spans="19:20" x14ac:dyDescent="0.35">
      <c r="S276" s="3" t="s">
        <v>1748</v>
      </c>
      <c r="T276" s="5">
        <v>1640224</v>
      </c>
    </row>
    <row r="277" spans="19:20" x14ac:dyDescent="0.35">
      <c r="S277" s="3" t="s">
        <v>467</v>
      </c>
      <c r="T277" s="5">
        <v>52238423</v>
      </c>
    </row>
    <row r="278" spans="19:20" x14ac:dyDescent="0.35">
      <c r="S278" s="3" t="s">
        <v>1417</v>
      </c>
      <c r="T278" s="5">
        <v>3967175</v>
      </c>
    </row>
    <row r="279" spans="19:20" x14ac:dyDescent="0.35">
      <c r="S279" s="3" t="s">
        <v>696</v>
      </c>
      <c r="T279" s="5">
        <v>21288910</v>
      </c>
    </row>
    <row r="280" spans="19:20" x14ac:dyDescent="0.35">
      <c r="S280" s="3" t="s">
        <v>905</v>
      </c>
      <c r="T280" s="5">
        <v>13047966</v>
      </c>
    </row>
    <row r="281" spans="19:20" x14ac:dyDescent="0.35">
      <c r="S281" s="3" t="s">
        <v>292</v>
      </c>
      <c r="T281" s="5">
        <v>203655032</v>
      </c>
    </row>
    <row r="282" spans="19:20" x14ac:dyDescent="0.35">
      <c r="S282" s="3" t="s">
        <v>1289</v>
      </c>
      <c r="T282" s="5">
        <v>4877738</v>
      </c>
    </row>
    <row r="283" spans="19:20" x14ac:dyDescent="0.35">
      <c r="S283" s="3" t="s">
        <v>1170</v>
      </c>
      <c r="T283" s="5">
        <v>6254137</v>
      </c>
    </row>
    <row r="284" spans="19:20" x14ac:dyDescent="0.35">
      <c r="S284" s="3" t="s">
        <v>1457</v>
      </c>
      <c r="T284" s="5">
        <v>3168439</v>
      </c>
    </row>
    <row r="285" spans="19:20" x14ac:dyDescent="0.35">
      <c r="S285" s="3" t="s">
        <v>434</v>
      </c>
      <c r="T285" s="5">
        <v>52537357</v>
      </c>
    </row>
    <row r="286" spans="19:20" x14ac:dyDescent="0.35">
      <c r="S286" s="3" t="s">
        <v>996</v>
      </c>
      <c r="T286" s="5">
        <v>10181572</v>
      </c>
    </row>
    <row r="287" spans="19:20" x14ac:dyDescent="0.35">
      <c r="S287" s="3" t="s">
        <v>1008</v>
      </c>
      <c r="T287" s="5">
        <v>10176763</v>
      </c>
    </row>
    <row r="288" spans="19:20" x14ac:dyDescent="0.35">
      <c r="S288" s="3" t="s">
        <v>1353</v>
      </c>
      <c r="T288" s="5">
        <v>4059423</v>
      </c>
    </row>
    <row r="289" spans="19:20" x14ac:dyDescent="0.35">
      <c r="S289" s="3" t="s">
        <v>791</v>
      </c>
      <c r="T289" s="5">
        <v>16424993</v>
      </c>
    </row>
    <row r="290" spans="19:20" x14ac:dyDescent="0.35">
      <c r="S290" s="3" t="s">
        <v>326</v>
      </c>
      <c r="T290" s="5">
        <v>79288970</v>
      </c>
    </row>
    <row r="291" spans="19:20" x14ac:dyDescent="0.35">
      <c r="S291" s="3" t="s">
        <v>41</v>
      </c>
      <c r="T291" s="5">
        <v>117071294680</v>
      </c>
    </row>
    <row r="292" spans="19:20" x14ac:dyDescent="0.35">
      <c r="S292" s="3" t="s">
        <v>911</v>
      </c>
      <c r="T292" s="5">
        <v>12991779</v>
      </c>
    </row>
    <row r="293" spans="19:20" x14ac:dyDescent="0.35">
      <c r="S293" s="3" t="s">
        <v>1327</v>
      </c>
      <c r="T293" s="5">
        <v>4836273</v>
      </c>
    </row>
    <row r="294" spans="19:20" x14ac:dyDescent="0.35">
      <c r="S294" s="3" t="s">
        <v>1078</v>
      </c>
      <c r="T294" s="5">
        <v>8086725</v>
      </c>
    </row>
    <row r="295" spans="19:20" x14ac:dyDescent="0.35">
      <c r="S295" s="3" t="s">
        <v>1798</v>
      </c>
      <c r="T295" s="5">
        <v>1360623</v>
      </c>
    </row>
    <row r="296" spans="19:20" x14ac:dyDescent="0.35">
      <c r="S296" s="3" t="s">
        <v>1826</v>
      </c>
      <c r="T296" s="5">
        <v>1347859</v>
      </c>
    </row>
    <row r="297" spans="19:20" x14ac:dyDescent="0.35">
      <c r="S297" s="3" t="s">
        <v>1535</v>
      </c>
      <c r="T297" s="5">
        <v>2599223</v>
      </c>
    </row>
    <row r="298" spans="19:20" x14ac:dyDescent="0.35">
      <c r="S298" s="3" t="s">
        <v>273</v>
      </c>
      <c r="T298" s="5">
        <v>248711592</v>
      </c>
    </row>
    <row r="299" spans="19:20" x14ac:dyDescent="0.35">
      <c r="S299" s="3" t="s">
        <v>899</v>
      </c>
      <c r="T299" s="5">
        <v>13070849</v>
      </c>
    </row>
    <row r="300" spans="19:20" x14ac:dyDescent="0.35">
      <c r="S300" s="3" t="s">
        <v>592</v>
      </c>
      <c r="T300" s="5">
        <v>36712969</v>
      </c>
    </row>
    <row r="301" spans="19:20" x14ac:dyDescent="0.35">
      <c r="S301" s="3" t="s">
        <v>1878</v>
      </c>
      <c r="T301" s="5">
        <v>2820867780409</v>
      </c>
    </row>
  </sheetData>
  <conditionalFormatting sqref="F62:F82">
    <cfRule type="colorScale" priority="2">
      <colorScale>
        <cfvo type="min"/>
        <cfvo type="percentile" val="50"/>
        <cfvo type="max"/>
        <color rgb="FF63BE7B"/>
        <color rgb="FFFFEB84"/>
        <color rgb="FFF8696B"/>
      </colorScale>
    </cfRule>
  </conditionalFormatting>
  <conditionalFormatting sqref="F62:F82">
    <cfRule type="colorScale" priority="1">
      <colorScale>
        <cfvo type="min"/>
        <cfvo type="percentile" val="50"/>
        <cfvo type="max"/>
        <color rgb="FF63BE7B"/>
        <color rgb="FFFFEB84"/>
        <color rgb="FFF8696B"/>
      </colorScale>
    </cfRule>
  </conditionalFormatting>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20B2-8B74-49E8-B032-2509516996F6}">
  <dimension ref="E3:Z56"/>
  <sheetViews>
    <sheetView tabSelected="1" zoomScale="24" workbookViewId="0">
      <selection activeCell="AA38" sqref="AA38"/>
    </sheetView>
  </sheetViews>
  <sheetFormatPr defaultRowHeight="14.5" x14ac:dyDescent="0.35"/>
  <cols>
    <col min="3" max="3" width="8.6328125" customWidth="1"/>
    <col min="18" max="18" width="9.81640625" customWidth="1"/>
    <col min="19" max="19" width="9.7265625" customWidth="1"/>
    <col min="20" max="20" width="8.453125" customWidth="1"/>
    <col min="21" max="21" width="18.54296875" customWidth="1"/>
    <col min="22" max="22" width="25.08984375" bestFit="1" customWidth="1"/>
    <col min="23" max="23" width="53.26953125" bestFit="1" customWidth="1"/>
    <col min="24" max="24" width="24.81640625" bestFit="1" customWidth="1"/>
  </cols>
  <sheetData>
    <row r="3" spans="5:26" x14ac:dyDescent="0.35">
      <c r="E3" s="6"/>
      <c r="F3" s="6"/>
      <c r="G3" s="6"/>
      <c r="H3" s="6"/>
      <c r="I3" s="6"/>
      <c r="J3" s="6"/>
      <c r="K3" s="6"/>
      <c r="L3" s="6"/>
      <c r="M3" s="6"/>
      <c r="N3" s="6"/>
      <c r="O3" s="6"/>
      <c r="P3" s="6"/>
      <c r="Q3" s="6"/>
      <c r="R3" s="6"/>
      <c r="S3" s="6"/>
      <c r="T3" s="6"/>
      <c r="U3" s="6"/>
      <c r="V3" s="6"/>
      <c r="W3" s="6"/>
      <c r="X3" s="6"/>
      <c r="Y3" s="6"/>
      <c r="Z3" s="6"/>
    </row>
    <row r="4" spans="5:26" x14ac:dyDescent="0.35">
      <c r="E4" s="6"/>
      <c r="F4" s="6"/>
      <c r="G4" s="6"/>
      <c r="H4" s="6"/>
      <c r="I4" s="6"/>
      <c r="J4" s="6"/>
      <c r="K4" s="6"/>
      <c r="L4" s="6"/>
      <c r="M4" s="6"/>
      <c r="N4" s="6"/>
      <c r="O4" s="6"/>
      <c r="P4" s="6"/>
      <c r="Q4" s="6"/>
      <c r="R4" s="6"/>
      <c r="S4" s="6"/>
      <c r="T4" s="6"/>
      <c r="U4" s="6"/>
      <c r="V4" s="6"/>
      <c r="W4" s="6"/>
      <c r="X4" s="6"/>
      <c r="Y4" s="6"/>
      <c r="Z4" s="6"/>
    </row>
    <row r="5" spans="5:26" x14ac:dyDescent="0.35">
      <c r="E5" s="6"/>
      <c r="F5" s="6"/>
      <c r="G5" s="6"/>
      <c r="H5" s="6"/>
      <c r="I5" s="6"/>
      <c r="J5" s="6"/>
      <c r="K5" s="6"/>
      <c r="L5" s="6"/>
      <c r="M5" s="6"/>
      <c r="N5" s="6"/>
      <c r="O5" s="6"/>
      <c r="P5" s="6"/>
      <c r="Q5" s="6"/>
      <c r="R5" s="6"/>
      <c r="S5" s="6"/>
      <c r="T5" s="6"/>
      <c r="U5" s="6"/>
      <c r="V5" s="6"/>
      <c r="W5" s="6"/>
      <c r="X5" s="6"/>
      <c r="Y5" s="6"/>
      <c r="Z5" s="6"/>
    </row>
    <row r="6" spans="5:26" x14ac:dyDescent="0.35">
      <c r="E6" s="6"/>
      <c r="F6" s="6"/>
      <c r="G6" s="6"/>
      <c r="H6" s="6"/>
      <c r="I6" s="6"/>
      <c r="J6" s="6"/>
      <c r="K6" s="6"/>
      <c r="L6" s="6"/>
      <c r="M6" s="6"/>
      <c r="N6" s="6"/>
      <c r="O6" s="6"/>
      <c r="P6" s="6"/>
      <c r="Q6" s="6"/>
      <c r="R6" s="6"/>
      <c r="S6" s="6"/>
      <c r="T6" s="6"/>
      <c r="U6" s="6"/>
      <c r="V6" s="6"/>
      <c r="W6" s="6"/>
      <c r="X6" s="6"/>
      <c r="Y6" s="6"/>
      <c r="Z6" s="6"/>
    </row>
    <row r="7" spans="5:26" x14ac:dyDescent="0.35">
      <c r="E7" s="6"/>
      <c r="F7" s="6"/>
      <c r="G7" s="6"/>
      <c r="H7" s="6"/>
      <c r="I7" s="6"/>
      <c r="J7" s="6"/>
      <c r="K7" s="6"/>
      <c r="L7" s="6"/>
      <c r="M7" s="6"/>
      <c r="N7" s="6"/>
      <c r="O7" s="6"/>
      <c r="P7" s="6"/>
      <c r="Q7" s="6"/>
      <c r="R7" s="6"/>
      <c r="S7" s="6"/>
      <c r="T7" s="6"/>
      <c r="U7" s="6"/>
      <c r="V7" s="6"/>
      <c r="W7" s="6"/>
      <c r="X7" s="6"/>
      <c r="Y7" s="6"/>
      <c r="Z7" s="6"/>
    </row>
    <row r="8" spans="5:26" x14ac:dyDescent="0.35">
      <c r="E8" s="6"/>
      <c r="F8" s="6"/>
      <c r="G8" s="6"/>
      <c r="H8" s="6"/>
      <c r="I8" s="6"/>
      <c r="J8" s="6"/>
      <c r="K8" s="6"/>
      <c r="L8" s="6"/>
      <c r="M8" s="6"/>
      <c r="N8" s="6"/>
      <c r="O8" s="6"/>
      <c r="P8" s="6"/>
      <c r="Q8" s="6"/>
      <c r="R8" s="6"/>
      <c r="S8" s="6"/>
      <c r="T8" s="6"/>
      <c r="U8" s="6"/>
      <c r="V8" s="6"/>
      <c r="W8" s="6"/>
      <c r="X8" s="6"/>
      <c r="Y8" s="6"/>
      <c r="Z8" s="6"/>
    </row>
    <row r="9" spans="5:26" x14ac:dyDescent="0.35">
      <c r="E9" s="6"/>
      <c r="F9" s="6"/>
      <c r="G9" s="6"/>
      <c r="H9" s="6"/>
      <c r="I9" s="6"/>
      <c r="J9" s="6"/>
      <c r="K9" s="6"/>
      <c r="L9" s="6"/>
      <c r="M9" s="6"/>
      <c r="N9" s="6"/>
      <c r="O9" s="6"/>
      <c r="P9" s="6"/>
      <c r="Q9" s="6"/>
      <c r="R9" s="6"/>
      <c r="S9" s="6"/>
      <c r="T9" s="6"/>
      <c r="U9" s="6"/>
      <c r="V9" s="6"/>
      <c r="W9" s="6"/>
      <c r="X9" s="6"/>
      <c r="Y9" s="6"/>
      <c r="Z9" s="6"/>
    </row>
    <row r="10" spans="5:26" x14ac:dyDescent="0.35">
      <c r="E10" s="6"/>
      <c r="F10" s="6"/>
      <c r="G10" s="6"/>
      <c r="H10" s="6"/>
      <c r="I10" s="6"/>
      <c r="J10" s="6"/>
      <c r="K10" s="6"/>
      <c r="L10" s="6"/>
      <c r="M10" s="6"/>
      <c r="N10" s="6"/>
      <c r="O10" s="6"/>
      <c r="P10" s="6"/>
      <c r="Q10" s="6"/>
      <c r="R10" s="6"/>
      <c r="S10" s="6"/>
      <c r="T10" s="6"/>
      <c r="U10" s="6"/>
      <c r="V10" s="6"/>
      <c r="W10" s="6"/>
      <c r="X10" s="6"/>
      <c r="Y10" s="6"/>
      <c r="Z10" s="6"/>
    </row>
    <row r="11" spans="5:26" x14ac:dyDescent="0.35">
      <c r="E11" s="6"/>
      <c r="F11" s="6"/>
      <c r="G11" s="6"/>
      <c r="H11" s="6"/>
      <c r="I11" s="6"/>
      <c r="J11" s="6"/>
      <c r="K11" s="6"/>
      <c r="L11" s="6"/>
      <c r="M11" s="6"/>
      <c r="N11" s="6"/>
      <c r="O11" s="6"/>
      <c r="P11" s="6"/>
      <c r="Q11" s="6"/>
      <c r="R11" s="6"/>
      <c r="S11" s="6"/>
      <c r="T11" s="6"/>
      <c r="U11" s="6"/>
      <c r="V11" s="6"/>
      <c r="W11" s="6"/>
      <c r="X11" s="6"/>
      <c r="Y11" s="6"/>
      <c r="Z11" s="6"/>
    </row>
    <row r="12" spans="5:26" x14ac:dyDescent="0.35">
      <c r="E12" s="6"/>
      <c r="F12" s="6"/>
      <c r="G12" s="6"/>
      <c r="H12" s="6"/>
      <c r="I12" s="6"/>
      <c r="J12" s="6"/>
      <c r="K12" s="6"/>
      <c r="L12" s="6"/>
      <c r="M12" s="6"/>
      <c r="N12" s="6"/>
      <c r="O12" s="6"/>
      <c r="P12" s="6"/>
      <c r="Q12" s="6"/>
      <c r="R12" s="6"/>
      <c r="S12" s="6"/>
      <c r="T12" s="6"/>
      <c r="U12" s="6"/>
      <c r="V12" s="6"/>
      <c r="W12" s="6"/>
      <c r="X12" s="6"/>
      <c r="Y12" s="6"/>
      <c r="Z12" s="6"/>
    </row>
    <row r="13" spans="5:26" x14ac:dyDescent="0.35">
      <c r="E13" s="6"/>
      <c r="F13" s="6"/>
      <c r="G13" s="6"/>
      <c r="H13" s="6"/>
      <c r="I13" s="6"/>
      <c r="J13" s="6"/>
      <c r="K13" s="6"/>
      <c r="L13" s="6"/>
      <c r="M13" s="6"/>
      <c r="N13" s="6"/>
      <c r="O13" s="6"/>
      <c r="P13" s="6"/>
      <c r="Q13" s="6"/>
      <c r="R13" s="6"/>
      <c r="S13" s="6"/>
      <c r="T13" s="6"/>
      <c r="U13" s="6"/>
      <c r="V13" s="6"/>
      <c r="W13" s="6"/>
      <c r="X13" s="6"/>
      <c r="Y13" s="6"/>
      <c r="Z13" s="6"/>
    </row>
    <row r="14" spans="5:26" x14ac:dyDescent="0.35">
      <c r="E14" s="6"/>
      <c r="F14" s="6"/>
      <c r="G14" s="6"/>
      <c r="H14" s="6"/>
      <c r="I14" s="6"/>
      <c r="J14" s="6"/>
      <c r="K14" s="6"/>
      <c r="L14" s="6"/>
      <c r="M14" s="6"/>
      <c r="N14" s="6"/>
      <c r="O14" s="6"/>
      <c r="P14" s="6"/>
      <c r="Q14" s="6"/>
      <c r="R14" s="6"/>
      <c r="S14" s="6"/>
      <c r="T14" s="6"/>
      <c r="U14" s="6"/>
      <c r="V14" s="6"/>
      <c r="W14" s="6"/>
      <c r="X14" s="6"/>
      <c r="Y14" s="6"/>
      <c r="Z14" s="6"/>
    </row>
    <row r="15" spans="5:26" x14ac:dyDescent="0.35">
      <c r="E15" s="6"/>
      <c r="F15" s="6"/>
      <c r="G15" s="6"/>
      <c r="H15" s="6"/>
      <c r="I15" s="6"/>
      <c r="J15" s="6"/>
      <c r="K15" s="6"/>
      <c r="L15" s="6"/>
      <c r="M15" s="6"/>
      <c r="N15" s="6"/>
      <c r="O15" s="6"/>
      <c r="P15" s="6"/>
      <c r="Q15" s="6"/>
      <c r="R15" s="6"/>
      <c r="S15" s="6"/>
      <c r="T15" s="6"/>
      <c r="U15" s="6"/>
      <c r="V15" s="6"/>
      <c r="W15" s="6"/>
      <c r="X15" s="6"/>
      <c r="Y15" s="6"/>
      <c r="Z15" s="6"/>
    </row>
    <row r="16" spans="5:26" x14ac:dyDescent="0.35">
      <c r="E16" s="6"/>
      <c r="F16" s="6"/>
      <c r="G16" s="6"/>
      <c r="H16" s="6"/>
      <c r="I16" s="6"/>
      <c r="J16" s="6"/>
      <c r="K16" s="6"/>
      <c r="L16" s="6"/>
      <c r="M16" s="6"/>
      <c r="N16" s="6"/>
      <c r="O16" s="6"/>
      <c r="P16" s="6"/>
      <c r="Q16" s="6"/>
      <c r="R16" s="6"/>
      <c r="S16" s="6"/>
      <c r="T16" s="6"/>
      <c r="U16" s="6"/>
      <c r="V16" s="6"/>
      <c r="W16" s="6"/>
      <c r="X16" s="6"/>
      <c r="Y16" s="6"/>
      <c r="Z16" s="6"/>
    </row>
    <row r="17" spans="5:26" x14ac:dyDescent="0.35">
      <c r="E17" s="6"/>
      <c r="F17" s="6"/>
      <c r="G17" s="6"/>
      <c r="H17" s="6"/>
      <c r="I17" s="6"/>
      <c r="J17" s="6"/>
      <c r="K17" s="6"/>
      <c r="L17" s="6"/>
      <c r="M17" s="6"/>
      <c r="N17" s="6"/>
      <c r="O17" s="6"/>
      <c r="P17" s="6"/>
      <c r="Q17" s="6"/>
      <c r="R17" s="6"/>
      <c r="S17" s="6"/>
      <c r="T17" s="6"/>
      <c r="U17" s="6"/>
      <c r="V17" s="6"/>
      <c r="W17" s="6"/>
      <c r="X17" s="6"/>
      <c r="Y17" s="6"/>
      <c r="Z17" s="6"/>
    </row>
    <row r="18" spans="5:26" x14ac:dyDescent="0.35">
      <c r="E18" s="6"/>
      <c r="F18" s="6"/>
      <c r="G18" s="6"/>
      <c r="H18" s="6"/>
      <c r="I18" s="6"/>
      <c r="J18" s="6"/>
      <c r="K18" s="6"/>
      <c r="L18" s="6"/>
      <c r="M18" s="6"/>
      <c r="N18" s="6"/>
      <c r="O18" s="6"/>
      <c r="P18" s="6"/>
      <c r="Q18" s="6"/>
      <c r="R18" s="6"/>
      <c r="S18" s="6"/>
      <c r="T18" s="6"/>
      <c r="U18" s="6"/>
      <c r="V18" s="6"/>
      <c r="W18" s="6"/>
      <c r="X18" s="6"/>
      <c r="Y18" s="6"/>
      <c r="Z18" s="6"/>
    </row>
    <row r="19" spans="5:26" x14ac:dyDescent="0.35">
      <c r="E19" s="6"/>
      <c r="F19" s="6"/>
      <c r="G19" s="6"/>
      <c r="H19" s="6"/>
      <c r="I19" s="6"/>
      <c r="J19" s="6"/>
      <c r="K19" s="6"/>
      <c r="L19" s="6"/>
      <c r="M19" s="6"/>
      <c r="N19" s="6"/>
      <c r="O19" s="6"/>
      <c r="P19" s="6"/>
      <c r="Q19" s="6"/>
      <c r="R19" s="6"/>
      <c r="S19" s="6"/>
      <c r="T19" s="6"/>
      <c r="U19" s="6"/>
      <c r="V19" s="6"/>
      <c r="W19" s="6"/>
      <c r="X19" s="6"/>
      <c r="Y19" s="6"/>
      <c r="Z19" s="6"/>
    </row>
    <row r="20" spans="5:26" x14ac:dyDescent="0.35">
      <c r="E20" s="6"/>
      <c r="F20" s="6"/>
      <c r="G20" s="6"/>
      <c r="H20" s="6"/>
      <c r="I20" s="6"/>
      <c r="J20" s="6"/>
      <c r="K20" s="6"/>
      <c r="L20" s="6"/>
      <c r="M20" s="6"/>
      <c r="N20" s="6"/>
      <c r="O20" s="6"/>
      <c r="P20" s="6"/>
      <c r="Q20" s="6"/>
      <c r="R20" s="6"/>
      <c r="S20" s="6"/>
      <c r="T20" s="6"/>
      <c r="U20" s="6"/>
      <c r="V20" s="6"/>
      <c r="W20" s="6"/>
      <c r="X20" s="6"/>
      <c r="Y20" s="6"/>
      <c r="Z20" s="6"/>
    </row>
    <row r="21" spans="5:26" x14ac:dyDescent="0.35">
      <c r="E21" s="6"/>
      <c r="F21" s="6"/>
      <c r="G21" s="6"/>
      <c r="H21" s="6"/>
      <c r="I21" s="6"/>
      <c r="J21" s="6"/>
      <c r="K21" s="6"/>
      <c r="L21" s="6"/>
      <c r="M21" s="6"/>
      <c r="N21" s="6"/>
      <c r="O21" s="6"/>
      <c r="P21" s="6"/>
      <c r="Q21" s="6"/>
      <c r="R21" s="6"/>
      <c r="S21" s="6"/>
      <c r="T21" s="6"/>
      <c r="U21" s="6"/>
      <c r="V21" s="6"/>
      <c r="W21" s="6"/>
      <c r="X21" s="6"/>
      <c r="Y21" s="6"/>
      <c r="Z21" s="6"/>
    </row>
    <row r="22" spans="5:26" x14ac:dyDescent="0.35">
      <c r="E22" s="6"/>
      <c r="F22" s="6"/>
      <c r="G22" s="6"/>
      <c r="H22" s="6"/>
      <c r="I22" s="6"/>
      <c r="J22" s="6"/>
      <c r="K22" s="6"/>
      <c r="L22" s="6"/>
      <c r="M22" s="6"/>
      <c r="N22" s="6"/>
      <c r="O22" s="6"/>
      <c r="P22" s="6"/>
      <c r="Q22" s="6"/>
      <c r="R22" s="6"/>
      <c r="S22" s="6"/>
      <c r="T22" s="6"/>
      <c r="U22" s="6"/>
      <c r="V22" s="6"/>
      <c r="W22" s="6"/>
      <c r="X22" s="6"/>
      <c r="Y22" s="6"/>
      <c r="Z22" s="6"/>
    </row>
    <row r="23" spans="5:26" x14ac:dyDescent="0.35">
      <c r="E23" s="6"/>
      <c r="F23" s="6"/>
      <c r="G23" s="6"/>
      <c r="H23" s="6"/>
      <c r="I23" s="6"/>
      <c r="J23" s="6"/>
      <c r="K23" s="6"/>
      <c r="L23" s="6"/>
      <c r="M23" s="6"/>
      <c r="N23" s="6"/>
      <c r="O23" s="6"/>
      <c r="P23" s="6"/>
      <c r="Q23" s="6"/>
      <c r="R23" s="6"/>
      <c r="S23" s="6"/>
      <c r="T23" s="6"/>
      <c r="U23" s="6"/>
      <c r="V23" s="6"/>
      <c r="W23" s="6"/>
      <c r="X23" s="6"/>
      <c r="Y23" s="6"/>
      <c r="Z23" s="6"/>
    </row>
    <row r="24" spans="5:26" x14ac:dyDescent="0.35">
      <c r="E24" s="6"/>
      <c r="F24" s="6"/>
      <c r="G24" s="6"/>
      <c r="H24" s="6"/>
      <c r="I24" s="6"/>
      <c r="J24" s="6"/>
      <c r="K24" s="6"/>
      <c r="L24" s="6"/>
      <c r="M24" s="6"/>
      <c r="N24" s="6"/>
      <c r="O24" s="6"/>
      <c r="P24" s="6"/>
      <c r="Q24" s="6"/>
      <c r="R24" s="6"/>
      <c r="S24" s="6"/>
      <c r="T24" s="6"/>
      <c r="U24" s="6"/>
      <c r="V24" s="6"/>
      <c r="W24" s="6"/>
      <c r="X24" s="6"/>
      <c r="Y24" s="6"/>
      <c r="Z24" s="6"/>
    </row>
    <row r="25" spans="5:26" x14ac:dyDescent="0.35">
      <c r="E25" s="6"/>
      <c r="F25" s="6"/>
      <c r="G25" s="6"/>
      <c r="H25" s="6"/>
      <c r="I25" s="6"/>
      <c r="J25" s="6"/>
      <c r="K25" s="6"/>
      <c r="L25" s="6"/>
      <c r="M25" s="6"/>
      <c r="N25" s="6"/>
      <c r="O25" s="6"/>
      <c r="P25" s="6"/>
      <c r="Q25" s="6"/>
      <c r="R25" s="6"/>
      <c r="S25" s="6"/>
      <c r="T25" s="6"/>
      <c r="U25" s="6"/>
      <c r="V25" s="6"/>
      <c r="W25" s="6"/>
      <c r="X25" s="6"/>
      <c r="Y25" s="6"/>
      <c r="Z25" s="6"/>
    </row>
    <row r="26" spans="5:26" x14ac:dyDescent="0.35">
      <c r="E26" s="6"/>
      <c r="F26" s="6"/>
      <c r="G26" s="6"/>
      <c r="H26" s="6"/>
      <c r="I26" s="6"/>
      <c r="J26" s="6"/>
      <c r="K26" s="6"/>
      <c r="L26" s="6"/>
      <c r="M26" s="6"/>
      <c r="N26" s="6"/>
      <c r="O26" s="6"/>
      <c r="P26" s="6"/>
      <c r="Q26" s="6"/>
      <c r="R26" s="6"/>
      <c r="S26" s="6"/>
      <c r="T26" s="6"/>
      <c r="U26" s="6"/>
      <c r="V26" s="6"/>
      <c r="W26" s="6"/>
      <c r="X26" s="6"/>
      <c r="Y26" s="6"/>
      <c r="Z26" s="6"/>
    </row>
    <row r="27" spans="5:26" x14ac:dyDescent="0.35">
      <c r="E27" s="6"/>
      <c r="F27" s="6"/>
      <c r="G27" s="6"/>
      <c r="H27" s="6"/>
      <c r="I27" s="6"/>
      <c r="J27" s="6"/>
      <c r="K27" s="6"/>
      <c r="L27" s="6"/>
      <c r="M27" s="6"/>
      <c r="N27" s="6"/>
      <c r="O27" s="6"/>
      <c r="P27" s="6"/>
      <c r="Q27" s="6"/>
      <c r="R27" s="6"/>
      <c r="S27" s="6"/>
      <c r="T27" s="6"/>
      <c r="U27" s="6"/>
      <c r="V27" s="6"/>
      <c r="W27" s="6"/>
      <c r="X27" s="6"/>
      <c r="Y27" s="6"/>
      <c r="Z27" s="6"/>
    </row>
    <row r="28" spans="5:26" x14ac:dyDescent="0.35">
      <c r="E28" s="6"/>
      <c r="F28" s="6"/>
      <c r="G28" s="6"/>
      <c r="H28" s="6"/>
      <c r="I28" s="6"/>
      <c r="J28" s="6"/>
      <c r="K28" s="6"/>
      <c r="L28" s="6"/>
      <c r="M28" s="6"/>
      <c r="N28" s="6"/>
      <c r="O28" s="6"/>
      <c r="P28" s="6"/>
      <c r="Q28" s="6"/>
      <c r="R28" s="6"/>
      <c r="S28" s="6"/>
      <c r="T28" s="6"/>
      <c r="U28" s="6"/>
      <c r="V28" s="6"/>
      <c r="W28" s="6"/>
      <c r="X28" s="6"/>
      <c r="Y28" s="6"/>
      <c r="Z28" s="6"/>
    </row>
    <row r="29" spans="5:26" x14ac:dyDescent="0.35">
      <c r="E29" s="6"/>
      <c r="F29" s="6"/>
      <c r="G29" s="6"/>
      <c r="H29" s="6"/>
      <c r="I29" s="6"/>
      <c r="J29" s="6"/>
      <c r="K29" s="6"/>
      <c r="L29" s="6"/>
      <c r="M29" s="6"/>
      <c r="N29" s="6"/>
      <c r="O29" s="6"/>
      <c r="P29" s="6"/>
      <c r="Q29" s="6"/>
      <c r="R29" s="6"/>
      <c r="S29" s="6"/>
      <c r="T29" s="6"/>
      <c r="U29" s="6"/>
      <c r="V29" s="6"/>
      <c r="W29" s="6"/>
      <c r="X29" s="6"/>
      <c r="Y29" s="6"/>
      <c r="Z29" s="6"/>
    </row>
    <row r="30" spans="5:26" x14ac:dyDescent="0.35">
      <c r="E30" s="6"/>
      <c r="F30" s="6"/>
      <c r="G30" s="6"/>
      <c r="H30" s="6"/>
      <c r="I30" s="6"/>
      <c r="J30" s="6"/>
      <c r="K30" s="6"/>
      <c r="L30" s="6"/>
      <c r="M30" s="6"/>
      <c r="N30" s="6"/>
      <c r="O30" s="6"/>
      <c r="P30" s="6"/>
      <c r="Q30" s="6"/>
      <c r="R30" s="6"/>
      <c r="S30" s="6"/>
      <c r="T30" s="6"/>
      <c r="U30" s="6"/>
      <c r="V30" s="6"/>
      <c r="W30" s="6"/>
      <c r="X30" s="6"/>
      <c r="Y30" s="6"/>
      <c r="Z30" s="6"/>
    </row>
    <row r="31" spans="5:26" x14ac:dyDescent="0.35">
      <c r="E31" s="6"/>
      <c r="F31" s="6"/>
      <c r="G31" s="6"/>
      <c r="H31" s="6"/>
      <c r="I31" s="6"/>
      <c r="J31" s="6"/>
      <c r="K31" s="6"/>
      <c r="L31" s="6"/>
      <c r="M31" s="6"/>
      <c r="N31" s="6"/>
      <c r="O31" s="6"/>
      <c r="P31" s="6"/>
      <c r="Q31" s="6"/>
      <c r="R31" s="6"/>
      <c r="S31" s="6"/>
      <c r="T31" s="6"/>
      <c r="U31" s="6"/>
      <c r="V31" s="6"/>
      <c r="W31" s="6"/>
      <c r="X31" s="6"/>
      <c r="Y31" s="6"/>
      <c r="Z31" s="6"/>
    </row>
    <row r="32" spans="5:26" x14ac:dyDescent="0.35">
      <c r="E32" s="6"/>
      <c r="F32" s="6"/>
      <c r="G32" s="6"/>
      <c r="H32" s="6"/>
      <c r="I32" s="6"/>
      <c r="J32" s="6"/>
      <c r="K32" s="6"/>
      <c r="L32" s="6"/>
      <c r="M32" s="6"/>
      <c r="N32" s="6"/>
      <c r="O32" s="6"/>
      <c r="P32" s="6"/>
      <c r="Q32" s="6"/>
      <c r="R32" s="6"/>
      <c r="S32" s="6"/>
      <c r="T32" s="6"/>
      <c r="U32" s="6"/>
      <c r="V32" s="6"/>
      <c r="W32" s="6"/>
      <c r="X32" s="6"/>
      <c r="Y32" s="6"/>
      <c r="Z32" s="6"/>
    </row>
    <row r="33" spans="5:26" x14ac:dyDescent="0.35">
      <c r="E33" s="6"/>
      <c r="F33" s="6"/>
      <c r="G33" s="6"/>
      <c r="H33" s="6"/>
      <c r="I33" s="6"/>
      <c r="J33" s="6"/>
      <c r="K33" s="6"/>
      <c r="L33" s="6"/>
      <c r="M33" s="6"/>
      <c r="N33" s="6"/>
      <c r="O33" s="6"/>
      <c r="P33" s="6"/>
      <c r="Q33" s="6"/>
      <c r="R33" s="6"/>
      <c r="S33" s="6"/>
      <c r="T33" s="6"/>
      <c r="U33" s="6"/>
      <c r="V33" s="6"/>
      <c r="W33" s="2" t="s">
        <v>0</v>
      </c>
      <c r="X33" t="s">
        <v>1879</v>
      </c>
      <c r="Y33" s="6"/>
      <c r="Z33" s="6"/>
    </row>
    <row r="34" spans="5:26" x14ac:dyDescent="0.35">
      <c r="E34" s="6"/>
      <c r="F34" s="6"/>
      <c r="G34" s="6"/>
      <c r="H34" s="6"/>
      <c r="I34" s="6"/>
      <c r="J34" s="6"/>
      <c r="K34" s="6"/>
      <c r="L34" s="6"/>
      <c r="M34" s="6"/>
      <c r="N34" s="6"/>
      <c r="O34" s="6"/>
      <c r="P34" s="6"/>
      <c r="Q34" s="6"/>
      <c r="R34" s="6"/>
      <c r="S34" s="6"/>
      <c r="T34" s="6"/>
      <c r="U34" s="6"/>
      <c r="V34" s="6"/>
      <c r="W34" s="3" t="s">
        <v>14</v>
      </c>
      <c r="X34" s="5">
        <v>88617.76</v>
      </c>
      <c r="Y34" s="6"/>
      <c r="Z34" s="6"/>
    </row>
    <row r="35" spans="5:26" x14ac:dyDescent="0.35">
      <c r="E35" s="6"/>
      <c r="F35" s="6"/>
      <c r="G35" s="6"/>
      <c r="H35" s="6"/>
      <c r="I35" s="6"/>
      <c r="J35" s="6"/>
      <c r="K35" s="6"/>
      <c r="L35" s="6"/>
      <c r="M35" s="6"/>
      <c r="N35" s="6"/>
      <c r="O35" s="6"/>
      <c r="P35" s="6"/>
      <c r="Q35" s="6"/>
      <c r="R35" s="6"/>
      <c r="S35" s="6"/>
      <c r="T35" s="6"/>
      <c r="U35" s="6"/>
      <c r="V35" s="6"/>
      <c r="W35" s="4" t="s">
        <v>15</v>
      </c>
      <c r="X35" s="5">
        <v>88617.76</v>
      </c>
      <c r="Y35" s="6"/>
      <c r="Z35" s="6"/>
    </row>
    <row r="36" spans="5:26" x14ac:dyDescent="0.35">
      <c r="E36" s="6"/>
      <c r="F36" s="6"/>
      <c r="G36" s="6"/>
      <c r="H36" s="6"/>
      <c r="I36" s="6"/>
      <c r="J36" s="6"/>
      <c r="K36" s="6"/>
      <c r="L36" s="6"/>
      <c r="M36" s="6"/>
      <c r="N36" s="6"/>
      <c r="O36" s="6"/>
      <c r="P36" s="6"/>
      <c r="Q36" s="6"/>
      <c r="R36" s="6"/>
      <c r="S36" s="6"/>
      <c r="T36" s="6"/>
      <c r="U36" s="6"/>
      <c r="V36" s="6"/>
      <c r="W36" s="3" t="s">
        <v>447</v>
      </c>
      <c r="X36" s="5">
        <v>4356.1000000000004</v>
      </c>
      <c r="Y36" s="6"/>
      <c r="Z36" s="6"/>
    </row>
    <row r="37" spans="5:26" x14ac:dyDescent="0.35">
      <c r="E37" s="6"/>
      <c r="F37" s="6"/>
      <c r="G37" s="6"/>
      <c r="H37" s="6"/>
      <c r="I37" s="6"/>
      <c r="J37" s="6"/>
      <c r="K37" s="6"/>
      <c r="L37" s="6"/>
      <c r="M37" s="6"/>
      <c r="N37" s="6"/>
      <c r="O37" s="6"/>
      <c r="P37" s="6"/>
      <c r="Q37" s="6"/>
      <c r="R37" s="6"/>
      <c r="S37" s="6"/>
      <c r="T37" s="6"/>
      <c r="U37" s="6"/>
      <c r="V37" s="6"/>
      <c r="W37" s="4" t="s">
        <v>448</v>
      </c>
      <c r="X37" s="5">
        <v>4356.1000000000004</v>
      </c>
      <c r="Y37" s="6"/>
      <c r="Z37" s="6"/>
    </row>
    <row r="38" spans="5:26" x14ac:dyDescent="0.35">
      <c r="E38" s="6"/>
      <c r="F38" s="6"/>
      <c r="G38" s="6"/>
      <c r="H38" s="6"/>
      <c r="I38" s="6"/>
      <c r="J38" s="6"/>
      <c r="K38" s="6"/>
      <c r="L38" s="6"/>
      <c r="M38" s="6"/>
      <c r="N38" s="6"/>
      <c r="O38" s="6"/>
      <c r="P38" s="6"/>
      <c r="Q38" s="6"/>
      <c r="R38" s="6"/>
      <c r="S38" s="6"/>
      <c r="T38" s="6"/>
      <c r="U38" s="6"/>
      <c r="V38" s="6"/>
      <c r="W38" s="3" t="s">
        <v>1054</v>
      </c>
      <c r="X38" s="5">
        <v>4354.6000000000004</v>
      </c>
      <c r="Y38" s="6"/>
      <c r="Z38" s="6"/>
    </row>
    <row r="39" spans="5:26" x14ac:dyDescent="0.35">
      <c r="E39" s="6"/>
      <c r="F39" s="6"/>
      <c r="G39" s="6"/>
      <c r="H39" s="6"/>
      <c r="I39" s="6"/>
      <c r="J39" s="6"/>
      <c r="K39" s="6"/>
      <c r="L39" s="6"/>
      <c r="M39" s="6"/>
      <c r="N39" s="6"/>
      <c r="O39" s="6"/>
      <c r="P39" s="6"/>
      <c r="Q39" s="6"/>
      <c r="R39" s="6"/>
      <c r="S39" s="6"/>
      <c r="T39" s="6"/>
      <c r="U39" s="6"/>
      <c r="V39" s="6"/>
      <c r="W39" s="4" t="s">
        <v>1055</v>
      </c>
      <c r="X39" s="5">
        <v>4354.6000000000004</v>
      </c>
      <c r="Y39" s="6"/>
      <c r="Z39" s="6"/>
    </row>
    <row r="40" spans="5:26" x14ac:dyDescent="0.35">
      <c r="E40" s="6"/>
      <c r="F40" s="6"/>
      <c r="G40" s="6"/>
      <c r="H40" s="6"/>
      <c r="I40" s="6"/>
      <c r="J40" s="6"/>
      <c r="K40" s="6"/>
      <c r="L40" s="6"/>
      <c r="M40" s="6"/>
      <c r="N40" s="6"/>
      <c r="O40" s="6"/>
      <c r="P40" s="6"/>
      <c r="Q40" s="6"/>
      <c r="R40" s="6"/>
      <c r="S40" s="6"/>
      <c r="T40" s="6"/>
      <c r="U40" s="6"/>
      <c r="V40" s="6"/>
      <c r="W40" s="3" t="s">
        <v>21</v>
      </c>
      <c r="X40" s="5">
        <v>2995.26</v>
      </c>
      <c r="Y40" s="6"/>
      <c r="Z40" s="6"/>
    </row>
    <row r="41" spans="5:26" x14ac:dyDescent="0.35">
      <c r="E41" s="6"/>
      <c r="F41" s="6"/>
      <c r="G41" s="6"/>
      <c r="H41" s="6"/>
      <c r="I41" s="6"/>
      <c r="J41" s="6"/>
      <c r="K41" s="6"/>
      <c r="L41" s="6"/>
      <c r="M41" s="6"/>
      <c r="N41" s="6"/>
      <c r="O41" s="6"/>
      <c r="P41" s="6"/>
      <c r="Q41" s="6"/>
      <c r="R41" s="6"/>
      <c r="S41" s="6"/>
      <c r="T41" s="6"/>
      <c r="U41" s="6"/>
      <c r="V41" s="6"/>
      <c r="W41" s="4" t="s">
        <v>22</v>
      </c>
      <c r="X41" s="5">
        <v>2995.26</v>
      </c>
      <c r="Y41" s="6"/>
      <c r="Z41" s="6"/>
    </row>
    <row r="42" spans="5:26" x14ac:dyDescent="0.35">
      <c r="E42" s="6"/>
      <c r="F42" s="6"/>
      <c r="G42" s="6"/>
      <c r="H42" s="6"/>
      <c r="I42" s="6"/>
      <c r="J42" s="6"/>
      <c r="K42" s="6"/>
      <c r="L42" s="6"/>
      <c r="M42" s="6"/>
      <c r="N42" s="6"/>
      <c r="O42" s="6"/>
      <c r="P42" s="6"/>
      <c r="Q42" s="6"/>
      <c r="R42" s="6"/>
      <c r="S42" s="6"/>
      <c r="T42" s="6"/>
      <c r="U42" s="6"/>
      <c r="V42" s="6"/>
      <c r="W42" s="3" t="s">
        <v>35</v>
      </c>
      <c r="X42" s="5">
        <v>855.25</v>
      </c>
      <c r="Y42" s="6"/>
      <c r="Z42" s="6"/>
    </row>
    <row r="43" spans="5:26" x14ac:dyDescent="0.35">
      <c r="E43" s="6"/>
      <c r="F43" s="6"/>
      <c r="G43" s="6"/>
      <c r="H43" s="6"/>
      <c r="I43" s="6"/>
      <c r="J43" s="6"/>
      <c r="K43" s="6"/>
      <c r="L43" s="6"/>
      <c r="M43" s="6"/>
      <c r="N43" s="6"/>
      <c r="O43" s="6"/>
      <c r="P43" s="6"/>
      <c r="Q43" s="6"/>
      <c r="R43" s="6"/>
      <c r="S43" s="6"/>
      <c r="T43" s="6"/>
      <c r="U43" s="6"/>
      <c r="V43" s="6"/>
      <c r="W43" s="4" t="s">
        <v>35</v>
      </c>
      <c r="X43" s="5">
        <v>855.25</v>
      </c>
      <c r="Y43" s="6"/>
      <c r="Z43" s="6"/>
    </row>
    <row r="44" spans="5:26" x14ac:dyDescent="0.35">
      <c r="E44" s="6"/>
      <c r="F44" s="6"/>
      <c r="G44" s="6"/>
      <c r="H44" s="6"/>
      <c r="I44" s="6"/>
      <c r="J44" s="6"/>
      <c r="K44" s="6"/>
      <c r="L44" s="6"/>
      <c r="M44" s="6"/>
      <c r="N44" s="6"/>
      <c r="O44" s="6"/>
      <c r="P44" s="6"/>
      <c r="Q44" s="6"/>
      <c r="R44" s="6"/>
      <c r="S44" s="6"/>
      <c r="T44" s="6"/>
      <c r="U44" s="6"/>
      <c r="V44" s="6"/>
      <c r="W44" s="3" t="s">
        <v>733</v>
      </c>
      <c r="X44" s="5">
        <v>619.67999999999995</v>
      </c>
      <c r="Y44" s="6"/>
      <c r="Z44" s="6"/>
    </row>
    <row r="45" spans="5:26" x14ac:dyDescent="0.35">
      <c r="E45" s="6"/>
      <c r="F45" s="6"/>
      <c r="G45" s="6"/>
      <c r="H45" s="6"/>
      <c r="I45" s="6"/>
      <c r="J45" s="6"/>
      <c r="K45" s="6"/>
      <c r="L45" s="6"/>
      <c r="M45" s="6"/>
      <c r="N45" s="6"/>
      <c r="O45" s="6"/>
      <c r="P45" s="6"/>
      <c r="Q45" s="6"/>
      <c r="R45" s="6"/>
      <c r="S45" s="6"/>
      <c r="T45" s="6"/>
      <c r="U45" s="6"/>
      <c r="V45" s="6"/>
      <c r="W45" s="4" t="s">
        <v>734</v>
      </c>
      <c r="X45" s="5">
        <v>619.67999999999995</v>
      </c>
      <c r="Y45" s="6"/>
      <c r="Z45" s="6"/>
    </row>
    <row r="46" spans="5:26" x14ac:dyDescent="0.35">
      <c r="E46" s="6"/>
      <c r="F46" s="6"/>
      <c r="G46" s="6"/>
      <c r="H46" s="6"/>
      <c r="I46" s="6"/>
      <c r="J46" s="6"/>
      <c r="K46" s="6"/>
      <c r="L46" s="6"/>
      <c r="M46" s="6"/>
      <c r="N46" s="6"/>
      <c r="O46" s="6"/>
      <c r="P46" s="6"/>
      <c r="Q46" s="6"/>
      <c r="R46" s="6"/>
      <c r="S46" s="6"/>
      <c r="T46" s="6"/>
      <c r="U46" s="6"/>
      <c r="V46" s="6"/>
      <c r="W46" s="3" t="s">
        <v>80</v>
      </c>
      <c r="X46" s="5">
        <v>586.88</v>
      </c>
      <c r="Y46" s="6"/>
      <c r="Z46" s="6"/>
    </row>
    <row r="47" spans="5:26" x14ac:dyDescent="0.35">
      <c r="E47" s="6"/>
      <c r="F47" s="6"/>
      <c r="G47" s="6"/>
      <c r="H47" s="6"/>
      <c r="I47" s="6"/>
      <c r="J47" s="6"/>
      <c r="K47" s="6"/>
      <c r="L47" s="6"/>
      <c r="M47" s="6"/>
      <c r="N47" s="6"/>
      <c r="O47" s="6"/>
      <c r="P47" s="6"/>
      <c r="Q47" s="6"/>
      <c r="R47" s="6"/>
      <c r="S47" s="6"/>
      <c r="T47" s="6"/>
      <c r="U47" s="6"/>
      <c r="V47" s="6"/>
      <c r="W47" s="4" t="s">
        <v>81</v>
      </c>
      <c r="X47" s="5">
        <v>586.88</v>
      </c>
      <c r="Y47" s="6"/>
      <c r="Z47" s="6"/>
    </row>
    <row r="48" spans="5:26" x14ac:dyDescent="0.35">
      <c r="E48" s="6"/>
      <c r="F48" s="6"/>
      <c r="G48" s="6"/>
      <c r="H48" s="6"/>
      <c r="I48" s="6"/>
      <c r="J48" s="6"/>
      <c r="K48" s="6"/>
      <c r="L48" s="6"/>
      <c r="M48" s="6"/>
      <c r="N48" s="6"/>
      <c r="O48" s="6"/>
      <c r="P48" s="6"/>
      <c r="Q48" s="6"/>
      <c r="R48" s="6"/>
      <c r="S48" s="6"/>
      <c r="T48" s="6"/>
      <c r="U48" s="6"/>
      <c r="V48" s="6"/>
      <c r="W48" s="3" t="s">
        <v>1559</v>
      </c>
      <c r="X48" s="5">
        <v>486.67</v>
      </c>
      <c r="Y48" s="6"/>
      <c r="Z48" s="6"/>
    </row>
    <row r="49" spans="5:26" x14ac:dyDescent="0.35">
      <c r="E49" s="6"/>
      <c r="F49" s="6"/>
      <c r="G49" s="6"/>
      <c r="H49" s="6"/>
      <c r="I49" s="6"/>
      <c r="J49" s="6"/>
      <c r="K49" s="6"/>
      <c r="L49" s="6"/>
      <c r="M49" s="6"/>
      <c r="N49" s="6"/>
      <c r="O49" s="6"/>
      <c r="P49" s="6"/>
      <c r="Q49" s="6"/>
      <c r="R49" s="6"/>
      <c r="S49" s="6"/>
      <c r="T49" s="6"/>
      <c r="U49" s="6"/>
      <c r="V49" s="6"/>
      <c r="W49" s="4" t="s">
        <v>1560</v>
      </c>
      <c r="X49" s="5">
        <v>486.67</v>
      </c>
      <c r="Y49" s="6"/>
      <c r="Z49" s="6"/>
    </row>
    <row r="50" spans="5:26" x14ac:dyDescent="0.35">
      <c r="E50" s="6"/>
      <c r="F50" s="6"/>
      <c r="G50" s="6"/>
      <c r="H50" s="6"/>
      <c r="I50" s="6"/>
      <c r="J50" s="6"/>
      <c r="K50" s="6"/>
      <c r="L50" s="6"/>
      <c r="M50" s="6"/>
      <c r="N50" s="6"/>
      <c r="O50" s="6"/>
      <c r="P50" s="6"/>
      <c r="Q50" s="6"/>
      <c r="R50" s="6"/>
      <c r="S50" s="6"/>
      <c r="T50" s="6"/>
      <c r="U50" s="6"/>
      <c r="V50" s="6"/>
      <c r="W50" s="3" t="s">
        <v>93</v>
      </c>
      <c r="X50" s="5">
        <v>469.29</v>
      </c>
      <c r="Y50" s="6"/>
      <c r="Z50" s="6"/>
    </row>
    <row r="51" spans="5:26" x14ac:dyDescent="0.35">
      <c r="E51" s="6"/>
      <c r="F51" s="6"/>
      <c r="G51" s="6"/>
      <c r="H51" s="6"/>
      <c r="I51" s="6"/>
      <c r="J51" s="6"/>
      <c r="K51" s="6"/>
      <c r="L51" s="6"/>
      <c r="M51" s="6"/>
      <c r="N51" s="6"/>
      <c r="O51" s="6"/>
      <c r="P51" s="6"/>
      <c r="Q51" s="6"/>
      <c r="R51" s="6"/>
      <c r="S51" s="6"/>
      <c r="T51" s="6"/>
      <c r="U51" s="6"/>
      <c r="V51" s="6"/>
      <c r="W51" s="4" t="s">
        <v>94</v>
      </c>
      <c r="X51" s="5">
        <v>469.29</v>
      </c>
      <c r="Y51" s="6"/>
      <c r="Z51" s="6"/>
    </row>
    <row r="52" spans="5:26" x14ac:dyDescent="0.35">
      <c r="E52" s="6"/>
      <c r="F52" s="6"/>
      <c r="G52" s="6"/>
      <c r="H52" s="6"/>
      <c r="I52" s="6"/>
      <c r="J52" s="6"/>
      <c r="K52" s="6"/>
      <c r="L52" s="6"/>
      <c r="M52" s="6"/>
      <c r="N52" s="6"/>
      <c r="O52" s="6"/>
      <c r="P52" s="6"/>
      <c r="Q52" s="6"/>
      <c r="R52" s="6"/>
      <c r="S52" s="6"/>
      <c r="T52" s="6"/>
      <c r="U52" s="6"/>
      <c r="V52" s="6"/>
      <c r="W52" s="3" t="s">
        <v>947</v>
      </c>
      <c r="X52" s="5">
        <v>307.41000000000003</v>
      </c>
      <c r="Y52" s="6"/>
      <c r="Z52" s="6"/>
    </row>
    <row r="53" spans="5:26" x14ac:dyDescent="0.35">
      <c r="E53" s="6"/>
      <c r="F53" s="6"/>
      <c r="G53" s="6"/>
      <c r="H53" s="6"/>
      <c r="I53" s="6"/>
      <c r="J53" s="6"/>
      <c r="K53" s="6"/>
      <c r="L53" s="6"/>
      <c r="M53" s="6"/>
      <c r="N53" s="6"/>
      <c r="O53" s="6"/>
      <c r="P53" s="6"/>
      <c r="Q53" s="6"/>
      <c r="R53" s="6"/>
      <c r="S53" s="6"/>
      <c r="T53" s="6"/>
      <c r="U53" s="6"/>
      <c r="V53" s="6"/>
      <c r="W53" s="4" t="s">
        <v>948</v>
      </c>
      <c r="X53" s="5">
        <v>307.41000000000003</v>
      </c>
      <c r="Y53" s="6"/>
      <c r="Z53" s="6"/>
    </row>
    <row r="54" spans="5:26" x14ac:dyDescent="0.35">
      <c r="E54" s="6"/>
      <c r="F54" s="6"/>
      <c r="G54" s="6"/>
      <c r="H54" s="6"/>
      <c r="I54" s="6"/>
      <c r="J54" s="6"/>
      <c r="K54" s="6"/>
      <c r="L54" s="6"/>
      <c r="M54" s="6"/>
      <c r="N54" s="6"/>
      <c r="O54" s="6"/>
      <c r="P54" s="6"/>
      <c r="Q54" s="6"/>
      <c r="R54" s="6"/>
      <c r="S54" s="6"/>
      <c r="T54" s="6"/>
      <c r="U54" s="6"/>
      <c r="V54" s="6"/>
      <c r="W54" s="3" t="s">
        <v>1878</v>
      </c>
      <c r="X54" s="5">
        <v>103648.9</v>
      </c>
      <c r="Y54" s="6"/>
      <c r="Z54" s="6"/>
    </row>
    <row r="55" spans="5:26" x14ac:dyDescent="0.35">
      <c r="E55" s="6"/>
      <c r="F55" s="6"/>
      <c r="G55" s="6"/>
      <c r="H55" s="6"/>
      <c r="I55" s="6"/>
      <c r="J55" s="6"/>
      <c r="K55" s="6"/>
      <c r="L55" s="6"/>
      <c r="M55" s="6"/>
      <c r="N55" s="6"/>
      <c r="O55" s="6"/>
      <c r="P55" s="6"/>
      <c r="Q55" s="6"/>
      <c r="R55" s="6"/>
      <c r="S55" s="6"/>
      <c r="T55" s="6"/>
      <c r="U55" s="6"/>
      <c r="V55" s="6"/>
      <c r="W55" s="6"/>
      <c r="X55" s="6"/>
      <c r="Y55" s="6"/>
      <c r="Z55" s="6"/>
    </row>
    <row r="56" spans="5:26" x14ac:dyDescent="0.35">
      <c r="E56" s="6"/>
      <c r="F56" s="6"/>
      <c r="G56" s="6"/>
      <c r="H56" s="6"/>
      <c r="I56" s="6"/>
      <c r="J56" s="6"/>
      <c r="K56" s="6"/>
      <c r="L56" s="6"/>
      <c r="M56" s="6"/>
      <c r="N56" s="6"/>
      <c r="O56" s="6"/>
      <c r="P56" s="6"/>
      <c r="Q56" s="6"/>
      <c r="R56" s="6"/>
      <c r="S56" s="6"/>
      <c r="T56" s="6"/>
      <c r="U56" s="6"/>
      <c r="V56" s="6"/>
      <c r="W56" s="6"/>
      <c r="X56" s="6"/>
      <c r="Y56" s="6"/>
      <c r="Z56" s="6"/>
    </row>
  </sheetData>
  <conditionalFormatting sqref="R38">
    <cfRule type="colorScale" priority="10">
      <colorScale>
        <cfvo type="min"/>
        <cfvo type="percentile" val="50"/>
        <cfvo type="max"/>
        <color rgb="FF63BE7B"/>
        <color rgb="FFFFEB84"/>
        <color rgb="FFF8696B"/>
      </colorScale>
    </cfRule>
  </conditionalFormatting>
  <conditionalFormatting sqref="R38:S38">
    <cfRule type="colorScale" priority="11">
      <colorScale>
        <cfvo type="min"/>
        <cfvo type="percentile" val="50"/>
        <cfvo type="max"/>
        <color rgb="FF63BE7B"/>
        <color rgb="FFFFEB84"/>
        <color rgb="FFF8696B"/>
      </colorScale>
    </cfRule>
  </conditionalFormatting>
  <conditionalFormatting sqref="W34:W54">
    <cfRule type="colorScale" priority="3">
      <colorScale>
        <cfvo type="min"/>
        <cfvo type="percentile" val="50"/>
        <cfvo type="max"/>
        <color rgb="FF63BE7B"/>
        <color rgb="FFFFEB84"/>
        <color rgb="FFF8696B"/>
      </colorScale>
    </cfRule>
  </conditionalFormatting>
  <conditionalFormatting sqref="W34:W54">
    <cfRule type="colorScale" priority="2">
      <colorScale>
        <cfvo type="min"/>
        <cfvo type="percentile" val="50"/>
        <cfvo type="max"/>
        <color rgb="FF63BE7B"/>
        <color rgb="FFFFEB84"/>
        <color rgb="FFF8696B"/>
      </colorScale>
    </cfRule>
  </conditionalFormatting>
  <conditionalFormatting sqref="W33:X54">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EDAD61-2A9F-4577-BE52-5E4E7FBCD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Gokila krishna B</cp:lastModifiedBy>
  <dcterms:created xsi:type="dcterms:W3CDTF">2025-12-21T11:07:15Z</dcterms:created>
  <dcterms:modified xsi:type="dcterms:W3CDTF">2025-12-23T09:47:16Z</dcterms:modified>
</cp:coreProperties>
</file>